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dmin\Documents\"/>
    </mc:Choice>
  </mc:AlternateContent>
  <xr:revisionPtr revIDLastSave="0" documentId="13_ncr:1_{D161B3B7-3714-4DA5-A6D2-062CD3A94C3D}" xr6:coauthVersionLast="47" xr6:coauthVersionMax="47" xr10:uidLastSave="{00000000-0000-0000-0000-000000000000}"/>
  <bookViews>
    <workbookView xWindow="-110" yWindow="-110" windowWidth="19420" windowHeight="10300" xr2:uid="{58358E02-39B5-425A-BA32-F400915A83EC}"/>
  </bookViews>
  <sheets>
    <sheet name="Dashboard" sheetId="3" r:id="rId1"/>
    <sheet name="Sales Data" sheetId="1" r:id="rId2"/>
    <sheet name="Pivot Table" sheetId="2"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 i="1" l="1"/>
  <c r="I5" i="1"/>
  <c r="I6" i="1"/>
  <c r="I7" i="1"/>
  <c r="I8" i="1"/>
  <c r="I9" i="1"/>
  <c r="I10" i="1"/>
  <c r="I11" i="1"/>
  <c r="I12" i="1"/>
  <c r="I13" i="1"/>
  <c r="I14" i="1"/>
  <c r="I15" i="1"/>
  <c r="I16" i="1"/>
  <c r="I17" i="1"/>
  <c r="I19" i="1"/>
  <c r="I20" i="1"/>
  <c r="I21" i="1"/>
  <c r="I22" i="1"/>
  <c r="I23" i="1"/>
  <c r="I24" i="1"/>
  <c r="I25" i="1"/>
  <c r="I26" i="1"/>
  <c r="I27" i="1"/>
  <c r="I3" i="1"/>
  <c r="I2" i="1"/>
  <c r="K8" i="1"/>
  <c r="K4" i="1"/>
  <c r="K2" i="1"/>
  <c r="H20" i="1"/>
  <c r="H21" i="1"/>
  <c r="H22" i="1"/>
  <c r="H23" i="1"/>
  <c r="H24" i="1"/>
  <c r="H25" i="1"/>
  <c r="H26" i="1"/>
  <c r="H27" i="1"/>
  <c r="H10" i="1"/>
  <c r="H11" i="1"/>
  <c r="H12" i="1"/>
  <c r="H13" i="1"/>
  <c r="H14" i="1"/>
  <c r="H15" i="1"/>
  <c r="H16" i="1"/>
  <c r="H17" i="1"/>
  <c r="H18" i="1"/>
  <c r="I18" i="1" s="1"/>
  <c r="K6" i="1" s="1"/>
  <c r="H19" i="1"/>
  <c r="H3" i="1"/>
  <c r="H4" i="1"/>
  <c r="H5" i="1"/>
  <c r="H6" i="1"/>
  <c r="H7" i="1"/>
  <c r="H8" i="1"/>
  <c r="H9" i="1"/>
  <c r="H2" i="1"/>
</calcChain>
</file>

<file path=xl/sharedStrings.xml><?xml version="1.0" encoding="utf-8"?>
<sst xmlns="http://schemas.openxmlformats.org/spreadsheetml/2006/main" count="119" uniqueCount="43">
  <si>
    <t>Date</t>
  </si>
  <si>
    <t>Sales Person</t>
  </si>
  <si>
    <t>Region</t>
  </si>
  <si>
    <t>Product</t>
  </si>
  <si>
    <t>Units Sold</t>
  </si>
  <si>
    <t>Unit Price</t>
  </si>
  <si>
    <t>Cost of Goods</t>
  </si>
  <si>
    <t>Total Sales</t>
  </si>
  <si>
    <t>Aakash</t>
  </si>
  <si>
    <t>Prem</t>
  </si>
  <si>
    <t>Mani</t>
  </si>
  <si>
    <t>Sam</t>
  </si>
  <si>
    <t>Venkat</t>
  </si>
  <si>
    <t>Karthi</t>
  </si>
  <si>
    <t>Naveen</t>
  </si>
  <si>
    <t>Inba</t>
  </si>
  <si>
    <t>John</t>
  </si>
  <si>
    <t>Madhava</t>
  </si>
  <si>
    <t>Sujith</t>
  </si>
  <si>
    <t>Dass</t>
  </si>
  <si>
    <t>East</t>
  </si>
  <si>
    <t>West</t>
  </si>
  <si>
    <t>North</t>
  </si>
  <si>
    <t>South</t>
  </si>
  <si>
    <t>Mobile</t>
  </si>
  <si>
    <t>AC</t>
  </si>
  <si>
    <t>Laptop</t>
  </si>
  <si>
    <t>Fridge</t>
  </si>
  <si>
    <t>Washing Machine</t>
  </si>
  <si>
    <t>Tv</t>
  </si>
  <si>
    <t>Cooler</t>
  </si>
  <si>
    <t>Grinder</t>
  </si>
  <si>
    <t>Sofa</t>
  </si>
  <si>
    <t>Lights</t>
  </si>
  <si>
    <t>Grand total</t>
  </si>
  <si>
    <t>Unit Sold</t>
  </si>
  <si>
    <t>Total Profit</t>
  </si>
  <si>
    <t>Profit</t>
  </si>
  <si>
    <t>Average Sales</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</si>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</sst>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color theme="1"/>
      <name val="Aptos Narrow"/>
      <family val="2"/>
      <scheme val="minor"/>
    </font>
    <font>
      <b/>
      <sz val="11"/>
      <color theme="0"/>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2" borderId="0" xfId="0" applyFont="1" applyFill="1"/>
    <xf numFmtId="14" fontId="0" fillId="0" borderId="0" xfId="0" applyNumberFormat="1"/>
    <xf numFmtId="0" fontId="0" fillId="0" borderId="0" xfId="1" applyNumberFormat="1" applyFont="1"/>
    <xf numFmtId="0" fontId="0" fillId="0" borderId="0" xfId="0" pivotButton="1"/>
    <xf numFmtId="0" fontId="0" fillId="0" borderId="0" xfId="0" applyAlignment="1">
      <alignment horizontal="left"/>
    </xf>
    <xf numFmtId="43" fontId="0" fillId="0" borderId="0" xfId="1" applyFont="1"/>
    <xf numFmtId="0" fontId="0" fillId="0" borderId="0" xfId="0" applyNumberFormat="1"/>
  </cellXfs>
  <cellStyles count="2">
    <cellStyle name="Comma" xfId="1" builtinId="3"/>
    <cellStyle name="Normal" xfId="0" builtinId="0"/>
  </cellStyles>
  <dxfs count="3">
    <dxf>
      <font>
        <b val="0"/>
        <i val="0"/>
        <strike val="0"/>
        <condense val="0"/>
        <extend val="0"/>
        <outline val="0"/>
        <shadow val="0"/>
        <u val="none"/>
        <vertAlign val="baseline"/>
        <sz val="11"/>
        <color theme="1"/>
        <name val="Aptos Narrow"/>
        <family val="2"/>
        <scheme val="minor"/>
      </font>
      <numFmt numFmtId="0" formatCode="General"/>
    </dxf>
    <dxf>
      <numFmt numFmtId="19" formatCode="dd/mm/yyyy"/>
    </dxf>
    <dxf>
      <font>
        <b/>
        <i val="0"/>
        <strike val="0"/>
        <condense val="0"/>
        <extend val="0"/>
        <outline val="0"/>
        <shadow val="0"/>
        <u val="none"/>
        <vertAlign val="baseline"/>
        <sz val="11"/>
        <color theme="0"/>
        <name val="Aptos Narrow"/>
        <family val="2"/>
        <scheme val="minor"/>
      </font>
      <fill>
        <patternFill patternType="solid">
          <fgColor indexed="64"/>
          <bgColor theme="3" tint="9.9978637043366805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Table!PivotTable4</c:name>
    <c:fmtId val="5"/>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Table'!$J$4:$J$10</c:f>
              <c:strCache>
                <c:ptCount val="6"/>
                <c:pt idx="0">
                  <c:v>AC</c:v>
                </c:pt>
                <c:pt idx="1">
                  <c:v>Fridge</c:v>
                </c:pt>
                <c:pt idx="2">
                  <c:v>Grinder</c:v>
                </c:pt>
                <c:pt idx="3">
                  <c:v>Lights</c:v>
                </c:pt>
                <c:pt idx="4">
                  <c:v>Sofa</c:v>
                </c:pt>
                <c:pt idx="5">
                  <c:v>Tv</c:v>
                </c:pt>
              </c:strCache>
            </c:strRef>
          </c:cat>
          <c:val>
            <c:numRef>
              <c:f>'Pivot Table'!$K$4:$K$10</c:f>
              <c:numCache>
                <c:formatCode>General</c:formatCode>
                <c:ptCount val="6"/>
                <c:pt idx="0">
                  <c:v>194</c:v>
                </c:pt>
                <c:pt idx="1">
                  <c:v>37</c:v>
                </c:pt>
                <c:pt idx="2">
                  <c:v>101</c:v>
                </c:pt>
                <c:pt idx="3">
                  <c:v>55</c:v>
                </c:pt>
                <c:pt idx="4">
                  <c:v>37</c:v>
                </c:pt>
                <c:pt idx="5">
                  <c:v>144</c:v>
                </c:pt>
              </c:numCache>
            </c:numRef>
          </c:val>
          <c:smooth val="0"/>
          <c:extLst>
            <c:ext xmlns:c16="http://schemas.microsoft.com/office/drawing/2014/chart" uri="{C3380CC4-5D6E-409C-BE32-E72D297353CC}">
              <c16:uniqueId val="{00000000-BAE5-4A01-8FF2-3950ECB21FC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2490832"/>
        <c:axId val="1892489872"/>
      </c:lineChart>
      <c:catAx>
        <c:axId val="18924908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92489872"/>
        <c:crosses val="autoZero"/>
        <c:auto val="1"/>
        <c:lblAlgn val="ctr"/>
        <c:lblOffset val="100"/>
        <c:noMultiLvlLbl val="0"/>
      </c:catAx>
      <c:valAx>
        <c:axId val="1892489872"/>
        <c:scaling>
          <c:orientation val="minMax"/>
        </c:scaling>
        <c:delete val="1"/>
        <c:axPos val="l"/>
        <c:numFmt formatCode="General" sourceLinked="1"/>
        <c:majorTickMark val="none"/>
        <c:minorTickMark val="none"/>
        <c:tickLblPos val="nextTo"/>
        <c:crossAx val="189249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271604938271588"/>
              <c:y val="-0.11184210526315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28395061728395"/>
              <c:y val="0.151315789473684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296296296296298"/>
              <c:y val="0.138157894736842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28395061728395"/>
              <c:y val="-7.23684210526315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271604938271588"/>
              <c:y val="-0.11184210526315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28395061728395"/>
              <c:y val="0.151315789473684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296296296296298"/>
              <c:y val="0.138157894736842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28395061728395"/>
              <c:y val="-7.23684210526315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201431109071541"/>
              <c:y val="1.1753245110194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1143610838014795"/>
              <c:y val="-0.126773886521868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2907394830043296"/>
              <c:y val="0.232520493539005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28395061728395"/>
              <c:y val="-7.23684210526315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02323320696023"/>
          <c:y val="0.26664214670534603"/>
          <c:w val="0.33657120637698068"/>
          <c:h val="0.44839256112722753"/>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06-40AE-98FA-089E0E48A3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06-40AE-98FA-089E0E48A3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06-40AE-98FA-089E0E48A3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06-40AE-98FA-089E0E48A3E3}"/>
              </c:ext>
            </c:extLst>
          </c:dPt>
          <c:dLbls>
            <c:dLbl>
              <c:idx val="0"/>
              <c:layout>
                <c:manualLayout>
                  <c:x val="-0.1728395061728395"/>
                  <c:y val="-7.2368421052631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06-40AE-98FA-089E0E48A3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Table'!$A$4:$A$5</c:f>
              <c:strCache>
                <c:ptCount val="1"/>
                <c:pt idx="0">
                  <c:v>West</c:v>
                </c:pt>
              </c:strCache>
            </c:strRef>
          </c:cat>
          <c:val>
            <c:numRef>
              <c:f>'Pivot Table'!$B$4:$B$5</c:f>
              <c:numCache>
                <c:formatCode>General</c:formatCode>
                <c:ptCount val="1"/>
                <c:pt idx="0">
                  <c:v>1410000</c:v>
                </c:pt>
              </c:numCache>
            </c:numRef>
          </c:val>
          <c:extLst>
            <c:ext xmlns:c16="http://schemas.microsoft.com/office/drawing/2014/chart" uri="{C3380CC4-5D6E-409C-BE32-E72D297353CC}">
              <c16:uniqueId val="{00000008-6F06-40AE-98FA-089E0E48A3E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19406306638848"/>
          <c:y val="6.9812057146940637E-2"/>
          <c:w val="0.72422802943013609"/>
          <c:h val="0.88185651867440817"/>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AC</c:v>
                </c:pt>
                <c:pt idx="1">
                  <c:v>Fridge</c:v>
                </c:pt>
                <c:pt idx="2">
                  <c:v>Grinder</c:v>
                </c:pt>
                <c:pt idx="3">
                  <c:v>Lights</c:v>
                </c:pt>
                <c:pt idx="4">
                  <c:v>Sofa</c:v>
                </c:pt>
                <c:pt idx="5">
                  <c:v>Tv</c:v>
                </c:pt>
              </c:strCache>
            </c:strRef>
          </c:cat>
          <c:val>
            <c:numRef>
              <c:f>'Pivot Table'!$E$4:$E$10</c:f>
              <c:numCache>
                <c:formatCode>General</c:formatCode>
                <c:ptCount val="6"/>
                <c:pt idx="0">
                  <c:v>593200</c:v>
                </c:pt>
                <c:pt idx="1">
                  <c:v>148000</c:v>
                </c:pt>
                <c:pt idx="2">
                  <c:v>101000</c:v>
                </c:pt>
                <c:pt idx="3">
                  <c:v>302500</c:v>
                </c:pt>
                <c:pt idx="4">
                  <c:v>92500</c:v>
                </c:pt>
                <c:pt idx="5">
                  <c:v>172800</c:v>
                </c:pt>
              </c:numCache>
            </c:numRef>
          </c:val>
          <c:extLst>
            <c:ext xmlns:c16="http://schemas.microsoft.com/office/drawing/2014/chart" uri="{C3380CC4-5D6E-409C-BE32-E72D297353CC}">
              <c16:uniqueId val="{00000000-FE80-4A09-9EB1-A887F259949F}"/>
            </c:ext>
          </c:extLst>
        </c:ser>
        <c:dLbls>
          <c:dLblPos val="outEnd"/>
          <c:showLegendKey val="0"/>
          <c:showVal val="1"/>
          <c:showCatName val="0"/>
          <c:showSerName val="0"/>
          <c:showPercent val="0"/>
          <c:showBubbleSize val="0"/>
        </c:dLbls>
        <c:gapWidth val="52"/>
        <c:axId val="593957248"/>
        <c:axId val="593955808"/>
      </c:barChart>
      <c:catAx>
        <c:axId val="59395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5808"/>
        <c:crosses val="autoZero"/>
        <c:auto val="1"/>
        <c:lblAlgn val="ctr"/>
        <c:lblOffset val="100"/>
        <c:noMultiLvlLbl val="0"/>
      </c:catAx>
      <c:valAx>
        <c:axId val="593955808"/>
        <c:scaling>
          <c:orientation val="minMax"/>
        </c:scaling>
        <c:delete val="1"/>
        <c:axPos val="b"/>
        <c:numFmt formatCode="General" sourceLinked="1"/>
        <c:majorTickMark val="none"/>
        <c:minorTickMark val="none"/>
        <c:tickLblPos val="nextTo"/>
        <c:crossAx val="59395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4257028112449802E-3"/>
              <c:y val="-1.83246073298429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718072289156627"/>
                  <c:h val="6.7984499319783981E-2"/>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4257028112449802E-3"/>
              <c:y val="-1.83246073298429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718072289156627"/>
                  <c:h val="6.7984499319783981E-2"/>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4257028112449802E-3"/>
              <c:y val="-1.83246073298429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718072289156627"/>
                  <c:h val="6.7984499319783981E-2"/>
                </c:manualLayout>
              </c15:layout>
            </c:ext>
          </c:extLst>
        </c:dLbl>
      </c:pivotFmt>
    </c:pivotFmts>
    <c:plotArea>
      <c:layout>
        <c:manualLayout>
          <c:layoutTarget val="inner"/>
          <c:xMode val="edge"/>
          <c:yMode val="edge"/>
          <c:x val="4.1700281440723526E-2"/>
          <c:y val="4.1884816753926704E-2"/>
          <c:w val="0.91022534231413843"/>
          <c:h val="0.71765510986519354"/>
        </c:manualLayout>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1-D533-4D72-AAA3-F5F337569A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Table'!$G$4:$G$7</c:f>
              <c:strCache>
                <c:ptCount val="3"/>
                <c:pt idx="0">
                  <c:v>Karthi</c:v>
                </c:pt>
                <c:pt idx="1">
                  <c:v>Madhava</c:v>
                </c:pt>
                <c:pt idx="2">
                  <c:v>Prem</c:v>
                </c:pt>
              </c:strCache>
            </c:strRef>
          </c:cat>
          <c:val>
            <c:numRef>
              <c:f>'Pivot Table'!$H$4:$H$7</c:f>
              <c:numCache>
                <c:formatCode>General</c:formatCode>
                <c:ptCount val="3"/>
                <c:pt idx="0">
                  <c:v>273800</c:v>
                </c:pt>
                <c:pt idx="1">
                  <c:v>447700</c:v>
                </c:pt>
                <c:pt idx="2">
                  <c:v>688500</c:v>
                </c:pt>
              </c:numCache>
            </c:numRef>
          </c:val>
          <c:extLst>
            <c:ext xmlns:c16="http://schemas.microsoft.com/office/drawing/2014/chart" uri="{C3380CC4-5D6E-409C-BE32-E72D297353CC}">
              <c16:uniqueId val="{00000002-D533-4D72-AAA3-F5F337569AF0}"/>
            </c:ext>
          </c:extLst>
        </c:ser>
        <c:dLbls>
          <c:showLegendKey val="0"/>
          <c:showVal val="0"/>
          <c:showCatName val="0"/>
          <c:showSerName val="0"/>
          <c:showPercent val="0"/>
          <c:showBubbleSize val="0"/>
        </c:dLbls>
        <c:gapWidth val="76"/>
        <c:overlap val="-27"/>
        <c:axId val="1722682816"/>
        <c:axId val="1722677056"/>
      </c:barChart>
      <c:catAx>
        <c:axId val="172268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677056"/>
        <c:crosses val="autoZero"/>
        <c:auto val="1"/>
        <c:lblAlgn val="ctr"/>
        <c:lblOffset val="100"/>
        <c:noMultiLvlLbl val="0"/>
      </c:catAx>
      <c:valAx>
        <c:axId val="1722677056"/>
        <c:scaling>
          <c:orientation val="minMax"/>
        </c:scaling>
        <c:delete val="1"/>
        <c:axPos val="l"/>
        <c:numFmt formatCode="General" sourceLinked="1"/>
        <c:majorTickMark val="none"/>
        <c:minorTickMark val="none"/>
        <c:tickLblPos val="nextTo"/>
        <c:crossAx val="172268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222250</xdr:colOff>
      <xdr:row>4</xdr:row>
      <xdr:rowOff>91400</xdr:rowOff>
    </xdr:to>
    <xdr:sp macro="" textlink="">
      <xdr:nvSpPr>
        <xdr:cNvPr id="2" name="Rectangle: Rounded Corners 1">
          <a:extLst>
            <a:ext uri="{FF2B5EF4-FFF2-40B4-BE49-F238E27FC236}">
              <a16:creationId xmlns:a16="http://schemas.microsoft.com/office/drawing/2014/main" id="{517ADB0A-8DE5-7E06-5BFD-C17AA27D62AB}"/>
            </a:ext>
          </a:extLst>
        </xdr:cNvPr>
        <xdr:cNvSpPr/>
      </xdr:nvSpPr>
      <xdr:spPr>
        <a:xfrm>
          <a:off x="0" y="0"/>
          <a:ext cx="11804650" cy="828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448235</xdr:colOff>
      <xdr:row>4</xdr:row>
      <xdr:rowOff>179298</xdr:rowOff>
    </xdr:from>
    <xdr:to>
      <xdr:col>15</xdr:col>
      <xdr:colOff>186765</xdr:colOff>
      <xdr:row>9</xdr:row>
      <xdr:rowOff>59765</xdr:rowOff>
    </xdr:to>
    <xdr:grpSp>
      <xdr:nvGrpSpPr>
        <xdr:cNvPr id="9" name="Group 8">
          <a:extLst>
            <a:ext uri="{FF2B5EF4-FFF2-40B4-BE49-F238E27FC236}">
              <a16:creationId xmlns:a16="http://schemas.microsoft.com/office/drawing/2014/main" id="{A24EB6B3-AAB5-A47F-AB07-AFCD44B46B83}"/>
            </a:ext>
          </a:extLst>
        </xdr:cNvPr>
        <xdr:cNvGrpSpPr/>
      </xdr:nvGrpSpPr>
      <xdr:grpSpPr>
        <a:xfrm>
          <a:off x="7167140" y="905012"/>
          <a:ext cx="2181768" cy="787610"/>
          <a:chOff x="0" y="926357"/>
          <a:chExt cx="2188883" cy="814290"/>
        </a:xfrm>
      </xdr:grpSpPr>
      <xdr:sp macro="" textlink="">
        <xdr:nvSpPr>
          <xdr:cNvPr id="3" name="Rectangle: Rounded Corners 2">
            <a:extLst>
              <a:ext uri="{FF2B5EF4-FFF2-40B4-BE49-F238E27FC236}">
                <a16:creationId xmlns:a16="http://schemas.microsoft.com/office/drawing/2014/main" id="{90F935E0-8B1C-6DF3-CCD0-7F80F69FA96B}"/>
              </a:ext>
            </a:extLst>
          </xdr:cNvPr>
          <xdr:cNvSpPr/>
        </xdr:nvSpPr>
        <xdr:spPr>
          <a:xfrm>
            <a:off x="0" y="963707"/>
            <a:ext cx="2160000" cy="7545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34193B8D-951A-8F07-3869-6BF13DB7BE5F}"/>
              </a:ext>
            </a:extLst>
          </xdr:cNvPr>
          <xdr:cNvSpPr/>
        </xdr:nvSpPr>
        <xdr:spPr>
          <a:xfrm>
            <a:off x="7468" y="926357"/>
            <a:ext cx="649944" cy="81429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FE42DBD7-848C-9B1C-BE5C-AD755622AE45}"/>
              </a:ext>
            </a:extLst>
          </xdr:cNvPr>
          <xdr:cNvSpPr txBox="1"/>
        </xdr:nvSpPr>
        <xdr:spPr>
          <a:xfrm>
            <a:off x="1030943" y="1023472"/>
            <a:ext cx="1157940" cy="306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PROFIT</a:t>
            </a:r>
          </a:p>
        </xdr:txBody>
      </xdr:sp>
      <xdr:sp macro="" textlink="'Sales Data'!K6">
        <xdr:nvSpPr>
          <xdr:cNvPr id="8" name="TextBox 7">
            <a:extLst>
              <a:ext uri="{FF2B5EF4-FFF2-40B4-BE49-F238E27FC236}">
                <a16:creationId xmlns:a16="http://schemas.microsoft.com/office/drawing/2014/main" id="{F791FB5B-520B-182A-299F-4C79415C45AE}"/>
              </a:ext>
            </a:extLst>
          </xdr:cNvPr>
          <xdr:cNvSpPr txBox="1"/>
        </xdr:nvSpPr>
        <xdr:spPr>
          <a:xfrm>
            <a:off x="724646" y="1210234"/>
            <a:ext cx="1389530" cy="47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8386AD-92B0-4E34-9E0E-874BCCEC8426}" type="TxLink">
              <a:rPr lang="en-US" sz="1600" b="1" i="0" u="none" strike="noStrike">
                <a:solidFill>
                  <a:schemeClr val="accent1"/>
                </a:solidFill>
                <a:latin typeface="Aptos Narrow"/>
              </a:rPr>
              <a:pPr/>
              <a:t> 18,07,250.00 </a:t>
            </a:fld>
            <a:endParaRPr lang="en-US" sz="1600" b="1">
              <a:solidFill>
                <a:schemeClr val="accent1"/>
              </a:solidFill>
            </a:endParaRPr>
          </a:p>
        </xdr:txBody>
      </xdr:sp>
    </xdr:grpSp>
    <xdr:clientData/>
  </xdr:twoCellAnchor>
  <xdr:twoCellAnchor>
    <xdr:from>
      <xdr:col>3</xdr:col>
      <xdr:colOff>567765</xdr:colOff>
      <xdr:row>5</xdr:row>
      <xdr:rowOff>7473</xdr:rowOff>
    </xdr:from>
    <xdr:to>
      <xdr:col>7</xdr:col>
      <xdr:colOff>306295</xdr:colOff>
      <xdr:row>9</xdr:row>
      <xdr:rowOff>74705</xdr:rowOff>
    </xdr:to>
    <xdr:grpSp>
      <xdr:nvGrpSpPr>
        <xdr:cNvPr id="15" name="Group 14">
          <a:extLst>
            <a:ext uri="{FF2B5EF4-FFF2-40B4-BE49-F238E27FC236}">
              <a16:creationId xmlns:a16="http://schemas.microsoft.com/office/drawing/2014/main" id="{5CA997AA-587A-C219-7E28-30E0FC795036}"/>
            </a:ext>
          </a:extLst>
        </xdr:cNvPr>
        <xdr:cNvGrpSpPr/>
      </xdr:nvGrpSpPr>
      <xdr:grpSpPr>
        <a:xfrm>
          <a:off x="2400194" y="914616"/>
          <a:ext cx="2181768" cy="792946"/>
          <a:chOff x="0" y="926357"/>
          <a:chExt cx="2188883" cy="814290"/>
        </a:xfrm>
      </xdr:grpSpPr>
      <xdr:sp macro="" textlink="">
        <xdr:nvSpPr>
          <xdr:cNvPr id="16" name="Rectangle: Rounded Corners 15">
            <a:extLst>
              <a:ext uri="{FF2B5EF4-FFF2-40B4-BE49-F238E27FC236}">
                <a16:creationId xmlns:a16="http://schemas.microsoft.com/office/drawing/2014/main" id="{6A875FFC-0649-4FC4-1653-8FF4B503E403}"/>
              </a:ext>
            </a:extLst>
          </xdr:cNvPr>
          <xdr:cNvSpPr/>
        </xdr:nvSpPr>
        <xdr:spPr>
          <a:xfrm>
            <a:off x="0" y="963707"/>
            <a:ext cx="2160000" cy="7545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873D692-CBBD-BDD9-78EE-96605247B58A}"/>
              </a:ext>
            </a:extLst>
          </xdr:cNvPr>
          <xdr:cNvSpPr/>
        </xdr:nvSpPr>
        <xdr:spPr>
          <a:xfrm>
            <a:off x="7468" y="926357"/>
            <a:ext cx="649944" cy="81429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813C0D62-ACB8-813A-20A3-98E69F62FB93}"/>
              </a:ext>
            </a:extLst>
          </xdr:cNvPr>
          <xdr:cNvSpPr txBox="1"/>
        </xdr:nvSpPr>
        <xdr:spPr>
          <a:xfrm>
            <a:off x="821765" y="1030943"/>
            <a:ext cx="1352175" cy="268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AVERAGE</a:t>
            </a:r>
            <a:r>
              <a:rPr lang="en-IN" sz="1200" b="1" baseline="0">
                <a:solidFill>
                  <a:schemeClr val="accent1"/>
                </a:solidFill>
              </a:rPr>
              <a:t> SALES</a:t>
            </a:r>
            <a:endParaRPr lang="en-IN" sz="1200" b="1">
              <a:solidFill>
                <a:schemeClr val="accent1"/>
              </a:solidFill>
            </a:endParaRPr>
          </a:p>
        </xdr:txBody>
      </xdr:sp>
      <xdr:sp macro="" textlink="'Sales Data'!K8">
        <xdr:nvSpPr>
          <xdr:cNvPr id="19" name="TextBox 18">
            <a:extLst>
              <a:ext uri="{FF2B5EF4-FFF2-40B4-BE49-F238E27FC236}">
                <a16:creationId xmlns:a16="http://schemas.microsoft.com/office/drawing/2014/main" id="{0360C4A8-DE88-8A02-04F7-22541552BF6F}"/>
              </a:ext>
            </a:extLst>
          </xdr:cNvPr>
          <xdr:cNvSpPr txBox="1"/>
        </xdr:nvSpPr>
        <xdr:spPr>
          <a:xfrm>
            <a:off x="799353" y="1217705"/>
            <a:ext cx="1389530" cy="47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E4CD25-3EEE-4235-8011-50B4F8F01F8E}" type="TxLink">
              <a:rPr lang="en-US" sz="1600" b="1" i="0" u="none" strike="noStrike">
                <a:solidFill>
                  <a:schemeClr val="accent1"/>
                </a:solidFill>
                <a:latin typeface="Aptos Narrow"/>
              </a:rPr>
              <a:pPr/>
              <a:t> 1,97,666.92 </a:t>
            </a:fld>
            <a:endParaRPr lang="en-IN" sz="4000" b="1">
              <a:solidFill>
                <a:schemeClr val="accent1"/>
              </a:solidFill>
            </a:endParaRPr>
          </a:p>
        </xdr:txBody>
      </xdr:sp>
    </xdr:grpSp>
    <xdr:clientData/>
  </xdr:twoCellAnchor>
  <xdr:twoCellAnchor>
    <xdr:from>
      <xdr:col>7</xdr:col>
      <xdr:colOff>575236</xdr:colOff>
      <xdr:row>4</xdr:row>
      <xdr:rowOff>179298</xdr:rowOff>
    </xdr:from>
    <xdr:to>
      <xdr:col>11</xdr:col>
      <xdr:colOff>425824</xdr:colOff>
      <xdr:row>9</xdr:row>
      <xdr:rowOff>59765</xdr:rowOff>
    </xdr:to>
    <xdr:grpSp>
      <xdr:nvGrpSpPr>
        <xdr:cNvPr id="25" name="Group 24">
          <a:extLst>
            <a:ext uri="{FF2B5EF4-FFF2-40B4-BE49-F238E27FC236}">
              <a16:creationId xmlns:a16="http://schemas.microsoft.com/office/drawing/2014/main" id="{069E0C5B-018E-6C3E-CE7C-CEDB9D447B95}"/>
            </a:ext>
          </a:extLst>
        </xdr:cNvPr>
        <xdr:cNvGrpSpPr/>
      </xdr:nvGrpSpPr>
      <xdr:grpSpPr>
        <a:xfrm>
          <a:off x="4850903" y="905012"/>
          <a:ext cx="2293826" cy="787610"/>
          <a:chOff x="0" y="926357"/>
          <a:chExt cx="2300941" cy="814290"/>
        </a:xfrm>
      </xdr:grpSpPr>
      <xdr:sp macro="" textlink="">
        <xdr:nvSpPr>
          <xdr:cNvPr id="26" name="Rectangle: Rounded Corners 25">
            <a:extLst>
              <a:ext uri="{FF2B5EF4-FFF2-40B4-BE49-F238E27FC236}">
                <a16:creationId xmlns:a16="http://schemas.microsoft.com/office/drawing/2014/main" id="{FEB08F74-8F4C-A68E-68FC-5C2222AA46F7}"/>
              </a:ext>
            </a:extLst>
          </xdr:cNvPr>
          <xdr:cNvSpPr/>
        </xdr:nvSpPr>
        <xdr:spPr>
          <a:xfrm>
            <a:off x="0" y="963707"/>
            <a:ext cx="2160000" cy="7545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F7DF58B4-5398-C460-08C9-082B25F0D758}"/>
              </a:ext>
            </a:extLst>
          </xdr:cNvPr>
          <xdr:cNvSpPr/>
        </xdr:nvSpPr>
        <xdr:spPr>
          <a:xfrm>
            <a:off x="7468" y="926357"/>
            <a:ext cx="649944" cy="81429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C0474BEF-6E08-6AFA-07C3-2917F1C8377F}"/>
              </a:ext>
            </a:extLst>
          </xdr:cNvPr>
          <xdr:cNvSpPr txBox="1"/>
        </xdr:nvSpPr>
        <xdr:spPr>
          <a:xfrm>
            <a:off x="911413" y="1053354"/>
            <a:ext cx="1157940" cy="306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UNITS</a:t>
            </a:r>
            <a:r>
              <a:rPr lang="en-IN" sz="1200" b="1" baseline="0">
                <a:solidFill>
                  <a:schemeClr val="accent1"/>
                </a:solidFill>
              </a:rPr>
              <a:t> SOLD</a:t>
            </a:r>
            <a:endParaRPr lang="en-IN" sz="1200" b="1">
              <a:solidFill>
                <a:schemeClr val="accent1"/>
              </a:solidFill>
            </a:endParaRPr>
          </a:p>
        </xdr:txBody>
      </xdr:sp>
      <xdr:sp macro="" textlink="'Sales Data'!K4">
        <xdr:nvSpPr>
          <xdr:cNvPr id="29" name="TextBox 28">
            <a:extLst>
              <a:ext uri="{FF2B5EF4-FFF2-40B4-BE49-F238E27FC236}">
                <a16:creationId xmlns:a16="http://schemas.microsoft.com/office/drawing/2014/main" id="{80940E59-67BD-4C03-F69B-1E7EAEB8BC84}"/>
              </a:ext>
            </a:extLst>
          </xdr:cNvPr>
          <xdr:cNvSpPr txBox="1"/>
        </xdr:nvSpPr>
        <xdr:spPr>
          <a:xfrm>
            <a:off x="911411" y="1232646"/>
            <a:ext cx="1389530" cy="47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47013E-7A1A-452E-9EAF-7F135532FFE0}" type="TxLink">
              <a:rPr lang="en-US" sz="1600" b="1" i="0" u="none" strike="noStrike">
                <a:solidFill>
                  <a:schemeClr val="accent1"/>
                </a:solidFill>
                <a:latin typeface="Aptos Narrow"/>
              </a:rPr>
              <a:pPr/>
              <a:t> 1,805.00 </a:t>
            </a:fld>
            <a:endParaRPr lang="en-IN" sz="4000" b="1">
              <a:solidFill>
                <a:schemeClr val="accent1"/>
              </a:solidFill>
            </a:endParaRPr>
          </a:p>
        </xdr:txBody>
      </xdr:sp>
    </xdr:grpSp>
    <xdr:clientData/>
  </xdr:twoCellAnchor>
  <xdr:twoCellAnchor>
    <xdr:from>
      <xdr:col>0</xdr:col>
      <xdr:colOff>7466</xdr:colOff>
      <xdr:row>4</xdr:row>
      <xdr:rowOff>179298</xdr:rowOff>
    </xdr:from>
    <xdr:to>
      <xdr:col>3</xdr:col>
      <xdr:colOff>329701</xdr:colOff>
      <xdr:row>9</xdr:row>
      <xdr:rowOff>59765</xdr:rowOff>
    </xdr:to>
    <xdr:grpSp>
      <xdr:nvGrpSpPr>
        <xdr:cNvPr id="35" name="Group 34">
          <a:extLst>
            <a:ext uri="{FF2B5EF4-FFF2-40B4-BE49-F238E27FC236}">
              <a16:creationId xmlns:a16="http://schemas.microsoft.com/office/drawing/2014/main" id="{A8E5E9E9-4F59-2FC7-A0C9-B33DF3244C47}"/>
            </a:ext>
          </a:extLst>
        </xdr:cNvPr>
        <xdr:cNvGrpSpPr/>
      </xdr:nvGrpSpPr>
      <xdr:grpSpPr>
        <a:xfrm>
          <a:off x="7466" y="905012"/>
          <a:ext cx="2154664" cy="787610"/>
          <a:chOff x="0" y="926357"/>
          <a:chExt cx="2160000" cy="814290"/>
        </a:xfrm>
      </xdr:grpSpPr>
      <xdr:sp macro="" textlink="">
        <xdr:nvSpPr>
          <xdr:cNvPr id="36" name="Rectangle: Rounded Corners 35">
            <a:extLst>
              <a:ext uri="{FF2B5EF4-FFF2-40B4-BE49-F238E27FC236}">
                <a16:creationId xmlns:a16="http://schemas.microsoft.com/office/drawing/2014/main" id="{F6E64F3F-9432-FDD8-C481-FF11F1F7A150}"/>
              </a:ext>
            </a:extLst>
          </xdr:cNvPr>
          <xdr:cNvSpPr/>
        </xdr:nvSpPr>
        <xdr:spPr>
          <a:xfrm>
            <a:off x="0" y="963707"/>
            <a:ext cx="2160000" cy="7545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ectangle: Rounded Corners 36">
            <a:extLst>
              <a:ext uri="{FF2B5EF4-FFF2-40B4-BE49-F238E27FC236}">
                <a16:creationId xmlns:a16="http://schemas.microsoft.com/office/drawing/2014/main" id="{1ADBACCF-A412-93A9-12D8-8DEA9616DF25}"/>
              </a:ext>
            </a:extLst>
          </xdr:cNvPr>
          <xdr:cNvSpPr/>
        </xdr:nvSpPr>
        <xdr:spPr>
          <a:xfrm>
            <a:off x="7468" y="926357"/>
            <a:ext cx="649944" cy="81429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FEF65E65-ABC1-3C90-6238-3251097358D0}"/>
              </a:ext>
            </a:extLst>
          </xdr:cNvPr>
          <xdr:cNvSpPr txBox="1"/>
        </xdr:nvSpPr>
        <xdr:spPr>
          <a:xfrm>
            <a:off x="911413" y="1053354"/>
            <a:ext cx="1157940" cy="306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TOTAL </a:t>
            </a:r>
            <a:r>
              <a:rPr lang="en-IN" sz="1200" b="1" baseline="0">
                <a:solidFill>
                  <a:schemeClr val="accent1"/>
                </a:solidFill>
              </a:rPr>
              <a:t>SALES</a:t>
            </a:r>
            <a:endParaRPr lang="en-IN" sz="1200" b="1">
              <a:solidFill>
                <a:schemeClr val="accent1"/>
              </a:solidFill>
            </a:endParaRPr>
          </a:p>
        </xdr:txBody>
      </xdr:sp>
      <xdr:sp macro="" textlink="'Sales Data'!K2">
        <xdr:nvSpPr>
          <xdr:cNvPr id="39" name="TextBox 38">
            <a:extLst>
              <a:ext uri="{FF2B5EF4-FFF2-40B4-BE49-F238E27FC236}">
                <a16:creationId xmlns:a16="http://schemas.microsoft.com/office/drawing/2014/main" id="{687BABBA-8889-B5E9-C113-CE604DC18690}"/>
              </a:ext>
            </a:extLst>
          </xdr:cNvPr>
          <xdr:cNvSpPr txBox="1"/>
        </xdr:nvSpPr>
        <xdr:spPr>
          <a:xfrm>
            <a:off x="747058" y="1247587"/>
            <a:ext cx="1389530" cy="47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A7E02E-E923-4679-9CF6-E88311152767}" type="TxLink">
              <a:rPr lang="en-US" sz="1600" b="1" i="0" u="none" strike="noStrike">
                <a:solidFill>
                  <a:schemeClr val="accent1"/>
                </a:solidFill>
                <a:latin typeface="Aptos Narrow"/>
              </a:rPr>
              <a:pPr/>
              <a:t> 51,39,340.00 </a:t>
            </a:fld>
            <a:endParaRPr lang="en-IN" sz="2800" b="1">
              <a:solidFill>
                <a:schemeClr val="accent1"/>
              </a:solidFill>
            </a:endParaRPr>
          </a:p>
        </xdr:txBody>
      </xdr:sp>
    </xdr:grpSp>
    <xdr:clientData/>
  </xdr:twoCellAnchor>
  <xdr:twoCellAnchor editAs="oneCell">
    <xdr:from>
      <xdr:col>8</xdr:col>
      <xdr:colOff>119531</xdr:colOff>
      <xdr:row>6</xdr:row>
      <xdr:rowOff>14941</xdr:rowOff>
    </xdr:from>
    <xdr:to>
      <xdr:col>8</xdr:col>
      <xdr:colOff>479531</xdr:colOff>
      <xdr:row>8</xdr:row>
      <xdr:rowOff>1411</xdr:rowOff>
    </xdr:to>
    <xdr:pic>
      <xdr:nvPicPr>
        <xdr:cNvPr id="41" name="Graphic 40" descr="Gold bars with solid fill">
          <a:extLst>
            <a:ext uri="{FF2B5EF4-FFF2-40B4-BE49-F238E27FC236}">
              <a16:creationId xmlns:a16="http://schemas.microsoft.com/office/drawing/2014/main" id="{E443CDBE-5919-8F34-6E31-779C2F385C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20237" y="1135529"/>
          <a:ext cx="360000" cy="360000"/>
        </a:xfrm>
        <a:prstGeom prst="rect">
          <a:avLst/>
        </a:prstGeom>
      </xdr:spPr>
    </xdr:pic>
    <xdr:clientData/>
  </xdr:twoCellAnchor>
  <xdr:twoCellAnchor editAs="oneCell">
    <xdr:from>
      <xdr:col>0</xdr:col>
      <xdr:colOff>179883</xdr:colOff>
      <xdr:row>6</xdr:row>
      <xdr:rowOff>45412</xdr:rowOff>
    </xdr:from>
    <xdr:to>
      <xdr:col>0</xdr:col>
      <xdr:colOff>539883</xdr:colOff>
      <xdr:row>8</xdr:row>
      <xdr:rowOff>31882</xdr:rowOff>
    </xdr:to>
    <xdr:pic>
      <xdr:nvPicPr>
        <xdr:cNvPr id="43" name="Graphic 42" descr="Rupee with solid fill">
          <a:extLst>
            <a:ext uri="{FF2B5EF4-FFF2-40B4-BE49-F238E27FC236}">
              <a16:creationId xmlns:a16="http://schemas.microsoft.com/office/drawing/2014/main" id="{D48E6675-FC57-E28D-EBC3-6FDF1AB422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9883" y="1166000"/>
          <a:ext cx="360000" cy="360000"/>
        </a:xfrm>
        <a:prstGeom prst="rect">
          <a:avLst/>
        </a:prstGeom>
      </xdr:spPr>
    </xdr:pic>
    <xdr:clientData/>
  </xdr:twoCellAnchor>
  <xdr:twoCellAnchor editAs="oneCell">
    <xdr:from>
      <xdr:col>12</xdr:col>
      <xdr:colOff>8647</xdr:colOff>
      <xdr:row>6</xdr:row>
      <xdr:rowOff>16117</xdr:rowOff>
    </xdr:from>
    <xdr:to>
      <xdr:col>12</xdr:col>
      <xdr:colOff>368647</xdr:colOff>
      <xdr:row>8</xdr:row>
      <xdr:rowOff>2587</xdr:rowOff>
    </xdr:to>
    <xdr:pic>
      <xdr:nvPicPr>
        <xdr:cNvPr id="45" name="Graphic 44" descr="Treasure chest outline">
          <a:extLst>
            <a:ext uri="{FF2B5EF4-FFF2-40B4-BE49-F238E27FC236}">
              <a16:creationId xmlns:a16="http://schemas.microsoft.com/office/drawing/2014/main" id="{4D9BCB30-D399-C9C9-4484-5591A6BE55B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59706" y="1136705"/>
          <a:ext cx="360000" cy="360000"/>
        </a:xfrm>
        <a:prstGeom prst="rect">
          <a:avLst/>
        </a:prstGeom>
      </xdr:spPr>
    </xdr:pic>
    <xdr:clientData/>
  </xdr:twoCellAnchor>
  <xdr:twoCellAnchor editAs="oneCell">
    <xdr:from>
      <xdr:col>4</xdr:col>
      <xdr:colOff>113824</xdr:colOff>
      <xdr:row>6</xdr:row>
      <xdr:rowOff>61530</xdr:rowOff>
    </xdr:from>
    <xdr:to>
      <xdr:col>4</xdr:col>
      <xdr:colOff>473824</xdr:colOff>
      <xdr:row>8</xdr:row>
      <xdr:rowOff>48000</xdr:rowOff>
    </xdr:to>
    <xdr:pic>
      <xdr:nvPicPr>
        <xdr:cNvPr id="47" name="Graphic 46" descr="Coins with solid fill">
          <a:extLst>
            <a:ext uri="{FF2B5EF4-FFF2-40B4-BE49-F238E27FC236}">
              <a16:creationId xmlns:a16="http://schemas.microsoft.com/office/drawing/2014/main" id="{7A795E21-7FF9-0A51-3366-D74373B9EAE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64177" y="1182118"/>
          <a:ext cx="360000" cy="360000"/>
        </a:xfrm>
        <a:prstGeom prst="rect">
          <a:avLst/>
        </a:prstGeom>
      </xdr:spPr>
    </xdr:pic>
    <xdr:clientData/>
  </xdr:twoCellAnchor>
  <xdr:twoCellAnchor>
    <xdr:from>
      <xdr:col>5</xdr:col>
      <xdr:colOff>52294</xdr:colOff>
      <xdr:row>0</xdr:row>
      <xdr:rowOff>0</xdr:rowOff>
    </xdr:from>
    <xdr:to>
      <xdr:col>13</xdr:col>
      <xdr:colOff>597648</xdr:colOff>
      <xdr:row>4</xdr:row>
      <xdr:rowOff>29882</xdr:rowOff>
    </xdr:to>
    <xdr:sp macro="" textlink="">
      <xdr:nvSpPr>
        <xdr:cNvPr id="48" name="TextBox 47">
          <a:extLst>
            <a:ext uri="{FF2B5EF4-FFF2-40B4-BE49-F238E27FC236}">
              <a16:creationId xmlns:a16="http://schemas.microsoft.com/office/drawing/2014/main" id="{C5C3A4C8-7B95-DC18-946F-28B181CE772D}"/>
            </a:ext>
          </a:extLst>
        </xdr:cNvPr>
        <xdr:cNvSpPr txBox="1"/>
      </xdr:nvSpPr>
      <xdr:spPr>
        <a:xfrm>
          <a:off x="3115235" y="0"/>
          <a:ext cx="5446060" cy="77694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b="1">
              <a:solidFill>
                <a:schemeClr val="accent1"/>
              </a:solidFill>
            </a:rPr>
            <a:t>Sales Dashboard - 2025</a:t>
          </a:r>
        </a:p>
      </xdr:txBody>
    </xdr:sp>
    <xdr:clientData/>
  </xdr:twoCellAnchor>
  <xdr:twoCellAnchor editAs="oneCell">
    <xdr:from>
      <xdr:col>15</xdr:col>
      <xdr:colOff>268942</xdr:colOff>
      <xdr:row>5</xdr:row>
      <xdr:rowOff>44823</xdr:rowOff>
    </xdr:from>
    <xdr:to>
      <xdr:col>19</xdr:col>
      <xdr:colOff>141942</xdr:colOff>
      <xdr:row>9</xdr:row>
      <xdr:rowOff>44824</xdr:rowOff>
    </xdr:to>
    <mc:AlternateContent xmlns:mc="http://schemas.openxmlformats.org/markup-compatibility/2006" xmlns:a14="http://schemas.microsoft.com/office/drawing/2010/main">
      <mc:Choice Requires="a14">
        <xdr:graphicFrame macro="">
          <xdr:nvGraphicFramePr>
            <xdr:cNvPr id="50" name="Region">
              <a:extLst>
                <a:ext uri="{FF2B5EF4-FFF2-40B4-BE49-F238E27FC236}">
                  <a16:creationId xmlns:a16="http://schemas.microsoft.com/office/drawing/2014/main" id="{A1BF94BC-0F36-4519-A0F2-0F050CE248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47578" y="968459"/>
              <a:ext cx="2320637" cy="738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3200</xdr:rowOff>
    </xdr:from>
    <xdr:to>
      <xdr:col>2</xdr:col>
      <xdr:colOff>603624</xdr:colOff>
      <xdr:row>47</xdr:row>
      <xdr:rowOff>67235</xdr:rowOff>
    </xdr:to>
    <mc:AlternateContent xmlns:mc="http://schemas.openxmlformats.org/markup-compatibility/2006" xmlns:a14="http://schemas.microsoft.com/office/drawing/2010/main">
      <mc:Choice Requires="a14">
        <xdr:graphicFrame macro="">
          <xdr:nvGraphicFramePr>
            <xdr:cNvPr id="51" name="Sales Person">
              <a:extLst>
                <a:ext uri="{FF2B5EF4-FFF2-40B4-BE49-F238E27FC236}">
                  <a16:creationId xmlns:a16="http://schemas.microsoft.com/office/drawing/2014/main" id="{E0677BED-FE3A-428E-BD0A-E360C9D62124}"/>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0" y="4990836"/>
              <a:ext cx="1827442" cy="3758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156881</xdr:rowOff>
    </xdr:from>
    <xdr:to>
      <xdr:col>2</xdr:col>
      <xdr:colOff>603624</xdr:colOff>
      <xdr:row>27</xdr:row>
      <xdr:rowOff>7471</xdr:rowOff>
    </xdr:to>
    <mc:AlternateContent xmlns:mc="http://schemas.openxmlformats.org/markup-compatibility/2006" xmlns:a14="http://schemas.microsoft.com/office/drawing/2010/main">
      <mc:Choice Requires="a14">
        <xdr:graphicFrame macro="">
          <xdr:nvGraphicFramePr>
            <xdr:cNvPr id="52" name="Product">
              <a:extLst>
                <a:ext uri="{FF2B5EF4-FFF2-40B4-BE49-F238E27FC236}">
                  <a16:creationId xmlns:a16="http://schemas.microsoft.com/office/drawing/2014/main" id="{09D7BA6A-DA79-4707-8A56-9185F1C2CA9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819426"/>
              <a:ext cx="1827442" cy="3175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219363</xdr:colOff>
      <xdr:row>10</xdr:row>
      <xdr:rowOff>69271</xdr:rowOff>
    </xdr:from>
    <xdr:to>
      <xdr:col>10</xdr:col>
      <xdr:colOff>461818</xdr:colOff>
      <xdr:row>27</xdr:row>
      <xdr:rowOff>23091</xdr:rowOff>
    </xdr:to>
    <xdr:sp macro="" textlink="">
      <xdr:nvSpPr>
        <xdr:cNvPr id="53" name="Rectangle: Rounded Corners 52">
          <a:extLst>
            <a:ext uri="{FF2B5EF4-FFF2-40B4-BE49-F238E27FC236}">
              <a16:creationId xmlns:a16="http://schemas.microsoft.com/office/drawing/2014/main" id="{FB6BEB0B-59BF-524B-C828-46C086E5FD04}"/>
            </a:ext>
          </a:extLst>
        </xdr:cNvPr>
        <xdr:cNvSpPr/>
      </xdr:nvSpPr>
      <xdr:spPr>
        <a:xfrm>
          <a:off x="2042720" y="1883557"/>
          <a:ext cx="4496955" cy="30381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Unit</a:t>
          </a:r>
          <a:r>
            <a:rPr lang="en-IN" sz="1800" b="1" baseline="0">
              <a:solidFill>
                <a:schemeClr val="accent1"/>
              </a:solidFill>
            </a:rPr>
            <a:t> Sold by Product</a:t>
          </a:r>
          <a:endParaRPr lang="en-IN" sz="1800" b="1">
            <a:solidFill>
              <a:schemeClr val="accent1"/>
            </a:solidFill>
          </a:endParaRPr>
        </a:p>
      </xdr:txBody>
    </xdr:sp>
    <xdr:clientData/>
  </xdr:twoCellAnchor>
  <xdr:twoCellAnchor>
    <xdr:from>
      <xdr:col>4</xdr:col>
      <xdr:colOff>80818</xdr:colOff>
      <xdr:row>13</xdr:row>
      <xdr:rowOff>23089</xdr:rowOff>
    </xdr:from>
    <xdr:to>
      <xdr:col>9</xdr:col>
      <xdr:colOff>590426</xdr:colOff>
      <xdr:row>25</xdr:row>
      <xdr:rowOff>177633</xdr:rowOff>
    </xdr:to>
    <xdr:graphicFrame macro="">
      <xdr:nvGraphicFramePr>
        <xdr:cNvPr id="54" name="Chart 53">
          <a:extLst>
            <a:ext uri="{FF2B5EF4-FFF2-40B4-BE49-F238E27FC236}">
              <a16:creationId xmlns:a16="http://schemas.microsoft.com/office/drawing/2014/main" id="{03EA1881-7B15-4CE7-8422-6A744CF11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508000</xdr:colOff>
      <xdr:row>10</xdr:row>
      <xdr:rowOff>150089</xdr:rowOff>
    </xdr:from>
    <xdr:to>
      <xdr:col>19</xdr:col>
      <xdr:colOff>138546</xdr:colOff>
      <xdr:row>27</xdr:row>
      <xdr:rowOff>103909</xdr:rowOff>
    </xdr:to>
    <xdr:sp macro="" textlink="">
      <xdr:nvSpPr>
        <xdr:cNvPr id="55" name="Rectangle: Rounded Corners 54">
          <a:extLst>
            <a:ext uri="{FF2B5EF4-FFF2-40B4-BE49-F238E27FC236}">
              <a16:creationId xmlns:a16="http://schemas.microsoft.com/office/drawing/2014/main" id="{FC2826E1-2AA8-F184-5D69-53E203BFA43C}"/>
            </a:ext>
          </a:extLst>
        </xdr:cNvPr>
        <xdr:cNvSpPr/>
      </xdr:nvSpPr>
      <xdr:spPr>
        <a:xfrm>
          <a:off x="7239000" y="1997362"/>
          <a:ext cx="4525819" cy="30941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Total</a:t>
          </a:r>
          <a:r>
            <a:rPr lang="en-IN" sz="1800" b="1" baseline="0">
              <a:solidFill>
                <a:schemeClr val="accent1"/>
              </a:solidFill>
            </a:rPr>
            <a:t> Sales by Region</a:t>
          </a:r>
          <a:endParaRPr lang="en-IN" sz="1800" b="1">
            <a:solidFill>
              <a:schemeClr val="accent1"/>
            </a:solidFill>
          </a:endParaRPr>
        </a:p>
      </xdr:txBody>
    </xdr:sp>
    <xdr:clientData/>
  </xdr:twoCellAnchor>
  <xdr:twoCellAnchor>
    <xdr:from>
      <xdr:col>3</xdr:col>
      <xdr:colOff>311728</xdr:colOff>
      <xdr:row>30</xdr:row>
      <xdr:rowOff>57725</xdr:rowOff>
    </xdr:from>
    <xdr:to>
      <xdr:col>10</xdr:col>
      <xdr:colOff>554183</xdr:colOff>
      <xdr:row>47</xdr:row>
      <xdr:rowOff>11544</xdr:rowOff>
    </xdr:to>
    <xdr:sp macro="" textlink="">
      <xdr:nvSpPr>
        <xdr:cNvPr id="56" name="Rectangle: Rounded Corners 55">
          <a:extLst>
            <a:ext uri="{FF2B5EF4-FFF2-40B4-BE49-F238E27FC236}">
              <a16:creationId xmlns:a16="http://schemas.microsoft.com/office/drawing/2014/main" id="{D440C3E0-E204-0762-CA0B-C05D90A800EB}"/>
            </a:ext>
          </a:extLst>
        </xdr:cNvPr>
        <xdr:cNvSpPr/>
      </xdr:nvSpPr>
      <xdr:spPr>
        <a:xfrm>
          <a:off x="2147455" y="5599543"/>
          <a:ext cx="4525819" cy="30941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Total</a:t>
          </a:r>
          <a:r>
            <a:rPr lang="en-IN" sz="1800" b="1" baseline="0">
              <a:solidFill>
                <a:schemeClr val="accent1"/>
              </a:solidFill>
            </a:rPr>
            <a:t> Sales by Product</a:t>
          </a:r>
          <a:endParaRPr lang="en-IN" sz="1800" b="1">
            <a:solidFill>
              <a:schemeClr val="accent1"/>
            </a:solidFill>
          </a:endParaRPr>
        </a:p>
      </xdr:txBody>
    </xdr:sp>
    <xdr:clientData/>
  </xdr:twoCellAnchor>
  <xdr:twoCellAnchor>
    <xdr:from>
      <xdr:col>11</xdr:col>
      <xdr:colOff>473363</xdr:colOff>
      <xdr:row>29</xdr:row>
      <xdr:rowOff>138544</xdr:rowOff>
    </xdr:from>
    <xdr:to>
      <xdr:col>19</xdr:col>
      <xdr:colOff>103909</xdr:colOff>
      <xdr:row>46</xdr:row>
      <xdr:rowOff>92363</xdr:rowOff>
    </xdr:to>
    <xdr:sp macro="" textlink="">
      <xdr:nvSpPr>
        <xdr:cNvPr id="59" name="Rectangle: Rounded Corners 58">
          <a:extLst>
            <a:ext uri="{FF2B5EF4-FFF2-40B4-BE49-F238E27FC236}">
              <a16:creationId xmlns:a16="http://schemas.microsoft.com/office/drawing/2014/main" id="{20CBCB2D-B59C-7849-536F-ED4D7E9AEEBF}"/>
            </a:ext>
          </a:extLst>
        </xdr:cNvPr>
        <xdr:cNvSpPr/>
      </xdr:nvSpPr>
      <xdr:spPr>
        <a:xfrm>
          <a:off x="7204363" y="5495635"/>
          <a:ext cx="4525819" cy="30941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Total</a:t>
          </a:r>
          <a:r>
            <a:rPr lang="en-IN" sz="1800" b="1" baseline="0">
              <a:solidFill>
                <a:schemeClr val="accent1"/>
              </a:solidFill>
            </a:rPr>
            <a:t> Sales by Sales Person</a:t>
          </a:r>
          <a:endParaRPr lang="en-IN" sz="1800" b="1">
            <a:solidFill>
              <a:schemeClr val="accent1"/>
            </a:solidFill>
          </a:endParaRPr>
        </a:p>
      </xdr:txBody>
    </xdr:sp>
    <xdr:clientData/>
  </xdr:twoCellAnchor>
  <xdr:twoCellAnchor>
    <xdr:from>
      <xdr:col>12</xdr:col>
      <xdr:colOff>577271</xdr:colOff>
      <xdr:row>13</xdr:row>
      <xdr:rowOff>23090</xdr:rowOff>
    </xdr:from>
    <xdr:to>
      <xdr:col>18</xdr:col>
      <xdr:colOff>196271</xdr:colOff>
      <xdr:row>24</xdr:row>
      <xdr:rowOff>46182</xdr:rowOff>
    </xdr:to>
    <xdr:graphicFrame macro="">
      <xdr:nvGraphicFramePr>
        <xdr:cNvPr id="60" name="Chart 59">
          <a:extLst>
            <a:ext uri="{FF2B5EF4-FFF2-40B4-BE49-F238E27FC236}">
              <a16:creationId xmlns:a16="http://schemas.microsoft.com/office/drawing/2014/main" id="{8289106A-76DC-4C19-965D-C7A131DF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450273</xdr:colOff>
      <xdr:row>33</xdr:row>
      <xdr:rowOff>34633</xdr:rowOff>
    </xdr:from>
    <xdr:to>
      <xdr:col>10</xdr:col>
      <xdr:colOff>268555</xdr:colOff>
      <xdr:row>45</xdr:row>
      <xdr:rowOff>182827</xdr:rowOff>
    </xdr:to>
    <xdr:graphicFrame macro="">
      <xdr:nvGraphicFramePr>
        <xdr:cNvPr id="61" name="Chart 60">
          <a:extLst>
            <a:ext uri="{FF2B5EF4-FFF2-40B4-BE49-F238E27FC236}">
              <a16:creationId xmlns:a16="http://schemas.microsoft.com/office/drawing/2014/main" id="{A0A74D09-995F-4595-830C-94AED3194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103908</xdr:colOff>
      <xdr:row>32</xdr:row>
      <xdr:rowOff>161634</xdr:rowOff>
    </xdr:from>
    <xdr:to>
      <xdr:col>18</xdr:col>
      <xdr:colOff>386236</xdr:colOff>
      <xdr:row>45</xdr:row>
      <xdr:rowOff>150501</xdr:rowOff>
    </xdr:to>
    <xdr:graphicFrame macro="">
      <xdr:nvGraphicFramePr>
        <xdr:cNvPr id="62" name="Chart 61">
          <a:extLst>
            <a:ext uri="{FF2B5EF4-FFF2-40B4-BE49-F238E27FC236}">
              <a16:creationId xmlns:a16="http://schemas.microsoft.com/office/drawing/2014/main" id="{FAD41DDF-6031-4EAD-B233-C4FB171FD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7.356804166666" createdVersion="8" refreshedVersion="8" minRefreshableVersion="3" recordCount="26" xr:uid="{CF3E7FE8-2764-4004-A96B-B70BE0054BBF}">
  <cacheSource type="worksheet">
    <worksheetSource name="Table1"/>
  </cacheSource>
  <cacheFields count="9">
    <cacheField name="Date" numFmtId="14">
      <sharedItems containsSemiMixedTypes="0" containsNonDate="0" containsDate="1" containsString="0" minDate="2024-01-01T00:00:00" maxDate="2024-02-29T00:00:00"/>
    </cacheField>
    <cacheField name="Sales Person" numFmtId="0">
      <sharedItems count="12">
        <s v="Aakash"/>
        <s v="Prem"/>
        <s v="Mani"/>
        <s v="Sam"/>
        <s v="Venkat"/>
        <s v="Karthi"/>
        <s v="Naveen"/>
        <s v="Inba"/>
        <s v="John"/>
        <s v="Madhava"/>
        <s v="Sujith"/>
        <s v="Dass"/>
      </sharedItems>
    </cacheField>
    <cacheField name="Region" numFmtId="0">
      <sharedItems count="4">
        <s v="East"/>
        <s v="West"/>
        <s v="North"/>
        <s v="South"/>
      </sharedItems>
    </cacheField>
    <cacheField name="Product" numFmtId="0">
      <sharedItems count="10">
        <s v="Mobile"/>
        <s v="AC"/>
        <s v="Laptop"/>
        <s v="Fridge"/>
        <s v="Washing Machine"/>
        <s v="Tv"/>
        <s v="Cooler"/>
        <s v="Grinder"/>
        <s v="Sofa"/>
        <s v="Lights"/>
      </sharedItems>
    </cacheField>
    <cacheField name="Units Sold" numFmtId="0">
      <sharedItems containsSemiMixedTypes="0" containsString="0" containsNumber="1" containsInteger="1" minValue="22" maxValue="144"/>
    </cacheField>
    <cacheField name="Unit Price" numFmtId="0">
      <sharedItems containsSemiMixedTypes="0" containsString="0" containsNumber="1" containsInteger="1" minValue="410" maxValue="10000"/>
    </cacheField>
    <cacheField name="Cost of Goods" numFmtId="0">
      <sharedItems containsSemiMixedTypes="0" containsString="0" containsNumber="1" containsInteger="1" minValue="110" maxValue="7500"/>
    </cacheField>
    <cacheField name="Total Sales" numFmtId="0">
      <sharedItems containsSemiMixedTypes="0" containsString="0" containsNumber="1" containsInteger="1" minValue="34440" maxValue="575400"/>
    </cacheField>
    <cacheField name="Profit" numFmtId="0">
      <sharedItems containsSemiMixedTypes="0" containsString="0" containsNumber="1" containsInteger="1" minValue="15600" maxValue="548000"/>
    </cacheField>
  </cacheFields>
  <extLst>
    <ext xmlns:x14="http://schemas.microsoft.com/office/spreadsheetml/2009/9/main" uri="{725AE2AE-9491-48be-B2B4-4EB974FC3084}">
      <x14:pivotCacheDefinition pivotCacheId="169490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24-01-01T00:00:00"/>
    <x v="0"/>
    <x v="0"/>
    <x v="0"/>
    <n v="84"/>
    <n v="6000"/>
    <n v="4000"/>
    <n v="504000"/>
    <n v="168000"/>
  </r>
  <r>
    <d v="2024-01-03T00:00:00"/>
    <x v="1"/>
    <x v="1"/>
    <x v="1"/>
    <n v="128"/>
    <n v="3500"/>
    <n v="2500"/>
    <n v="448000"/>
    <n v="128000"/>
  </r>
  <r>
    <d v="2024-01-05T00:00:00"/>
    <x v="2"/>
    <x v="2"/>
    <x v="2"/>
    <n v="136"/>
    <n v="1200"/>
    <n v="700"/>
    <n v="163200"/>
    <n v="68000"/>
  </r>
  <r>
    <d v="2024-01-07T00:00:00"/>
    <x v="3"/>
    <x v="3"/>
    <x v="3"/>
    <n v="66"/>
    <n v="1000"/>
    <n v="600"/>
    <n v="66000"/>
    <n v="26400"/>
  </r>
  <r>
    <d v="2024-01-09T00:00:00"/>
    <x v="4"/>
    <x v="0"/>
    <x v="4"/>
    <n v="33"/>
    <n v="4000"/>
    <n v="2700"/>
    <n v="132000"/>
    <n v="42900"/>
  </r>
  <r>
    <d v="2024-01-11T00:00:00"/>
    <x v="5"/>
    <x v="1"/>
    <x v="5"/>
    <n v="144"/>
    <n v="1200"/>
    <n v="800"/>
    <n v="172800"/>
    <n v="57600"/>
  </r>
  <r>
    <d v="2024-01-13T00:00:00"/>
    <x v="6"/>
    <x v="2"/>
    <x v="6"/>
    <n v="37"/>
    <n v="1000"/>
    <n v="500"/>
    <n v="37000"/>
    <n v="18500"/>
  </r>
  <r>
    <d v="2024-01-15T00:00:00"/>
    <x v="7"/>
    <x v="3"/>
    <x v="7"/>
    <n v="28"/>
    <n v="6000"/>
    <n v="4000"/>
    <n v="168000"/>
    <n v="56000"/>
  </r>
  <r>
    <d v="2024-01-17T00:00:00"/>
    <x v="8"/>
    <x v="0"/>
    <x v="8"/>
    <n v="81"/>
    <n v="600"/>
    <n v="300"/>
    <n v="48600"/>
    <n v="24300"/>
  </r>
  <r>
    <d v="2024-01-19T00:00:00"/>
    <x v="9"/>
    <x v="1"/>
    <x v="9"/>
    <n v="55"/>
    <n v="5500"/>
    <n v="4500"/>
    <n v="302500"/>
    <n v="55000"/>
  </r>
  <r>
    <d v="2024-01-21T00:00:00"/>
    <x v="10"/>
    <x v="2"/>
    <x v="0"/>
    <n v="48"/>
    <n v="1200"/>
    <n v="800"/>
    <n v="57600"/>
    <n v="19200"/>
  </r>
  <r>
    <d v="2024-02-01T00:00:00"/>
    <x v="11"/>
    <x v="3"/>
    <x v="1"/>
    <n v="39"/>
    <n v="1000"/>
    <n v="600"/>
    <n v="39000"/>
    <n v="15600"/>
  </r>
  <r>
    <d v="2024-02-02T00:00:00"/>
    <x v="0"/>
    <x v="0"/>
    <x v="2"/>
    <n v="71"/>
    <n v="3500"/>
    <n v="2700"/>
    <n v="248500"/>
    <n v="56800"/>
  </r>
  <r>
    <d v="2024-02-04T00:00:00"/>
    <x v="1"/>
    <x v="1"/>
    <x v="3"/>
    <n v="37"/>
    <n v="4000"/>
    <n v="2900"/>
    <n v="148000"/>
    <n v="40700"/>
  </r>
  <r>
    <d v="2024-02-06T00:00:00"/>
    <x v="2"/>
    <x v="2"/>
    <x v="4"/>
    <n v="46"/>
    <n v="3500"/>
    <n v="3000"/>
    <n v="161000"/>
    <n v="23000"/>
  </r>
  <r>
    <d v="2024-02-08T00:00:00"/>
    <x v="3"/>
    <x v="3"/>
    <x v="5"/>
    <n v="99"/>
    <n v="4200"/>
    <n v="3500"/>
    <n v="415800"/>
    <n v="69300"/>
  </r>
  <r>
    <d v="2024-02-10T00:00:00"/>
    <x v="4"/>
    <x v="0"/>
    <x v="6"/>
    <n v="137"/>
    <n v="4200"/>
    <n v="200"/>
    <n v="575400"/>
    <n v="548000"/>
  </r>
  <r>
    <d v="2024-02-12T00:00:00"/>
    <x v="5"/>
    <x v="1"/>
    <x v="7"/>
    <n v="101"/>
    <n v="1000"/>
    <n v="450"/>
    <n v="101000"/>
    <n v="55550"/>
  </r>
  <r>
    <d v="2024-02-14T00:00:00"/>
    <x v="6"/>
    <x v="2"/>
    <x v="8"/>
    <n v="22"/>
    <n v="10000"/>
    <n v="7500"/>
    <n v="220000"/>
    <n v="55000"/>
  </r>
  <r>
    <d v="2024-02-16T00:00:00"/>
    <x v="7"/>
    <x v="3"/>
    <x v="9"/>
    <n v="51"/>
    <n v="4000"/>
    <n v="2700"/>
    <n v="204000"/>
    <n v="66300"/>
  </r>
  <r>
    <d v="2024-02-18T00:00:00"/>
    <x v="8"/>
    <x v="0"/>
    <x v="0"/>
    <n v="73"/>
    <n v="3400"/>
    <n v="2500"/>
    <n v="248200"/>
    <n v="65700"/>
  </r>
  <r>
    <d v="2024-02-20T00:00:00"/>
    <x v="9"/>
    <x v="1"/>
    <x v="1"/>
    <n v="66"/>
    <n v="2200"/>
    <n v="1600"/>
    <n v="145200"/>
    <n v="39600"/>
  </r>
  <r>
    <d v="2024-02-22T00:00:00"/>
    <x v="10"/>
    <x v="2"/>
    <x v="2"/>
    <n v="84"/>
    <n v="410"/>
    <n v="110"/>
    <n v="34440"/>
    <n v="25200"/>
  </r>
  <r>
    <d v="2024-02-24T00:00:00"/>
    <x v="11"/>
    <x v="3"/>
    <x v="3"/>
    <n v="73"/>
    <n v="4100"/>
    <n v="3500"/>
    <n v="299300"/>
    <n v="43800"/>
  </r>
  <r>
    <d v="2024-02-26T00:00:00"/>
    <x v="0"/>
    <x v="0"/>
    <x v="4"/>
    <n v="29"/>
    <n v="3700"/>
    <n v="3000"/>
    <n v="107300"/>
    <n v="20300"/>
  </r>
  <r>
    <d v="2024-02-28T00:00:00"/>
    <x v="1"/>
    <x v="1"/>
    <x v="8"/>
    <n v="37"/>
    <n v="2500"/>
    <n v="2000"/>
    <n v="92500"/>
    <n v="18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5D81EF-2696-4EA7-B5EF-1F3D049540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9">
    <pivotField numFmtId="14" showAll="0"/>
    <pivotField showAll="0">
      <items count="13">
        <item x="0"/>
        <item x="11"/>
        <item x="7"/>
        <item x="8"/>
        <item x="5"/>
        <item x="9"/>
        <item x="2"/>
        <item x="6"/>
        <item x="1"/>
        <item x="3"/>
        <item x="10"/>
        <item x="4"/>
        <item t="default"/>
      </items>
    </pivotField>
    <pivotField axis="axisRow" showAll="0">
      <items count="5">
        <item h="1" x="0"/>
        <item h="1" x="2"/>
        <item h="1" x="3"/>
        <item x="1"/>
        <item t="default"/>
      </items>
    </pivotField>
    <pivotField showAll="0">
      <items count="11">
        <item x="1"/>
        <item x="6"/>
        <item x="3"/>
        <item x="7"/>
        <item x="2"/>
        <item x="9"/>
        <item x="0"/>
        <item x="8"/>
        <item x="5"/>
        <item x="4"/>
        <item t="default"/>
      </items>
    </pivotField>
    <pivotField showAll="0"/>
    <pivotField showAll="0"/>
    <pivotField showAll="0"/>
    <pivotField dataField="1" showAll="0"/>
    <pivotField showAll="0"/>
  </pivotFields>
  <rowFields count="1">
    <field x="2"/>
  </rowFields>
  <rowItems count="2">
    <i>
      <x v="3"/>
    </i>
    <i t="grand">
      <x/>
    </i>
  </rowItems>
  <colItems count="1">
    <i/>
  </colItems>
  <dataFields count="1">
    <dataField name="Sum of Total Sales" fld="7"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DF6F84-056F-40EB-B9A5-E56BEACE74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0" firstHeaderRow="1" firstDataRow="1" firstDataCol="1"/>
  <pivotFields count="9">
    <pivotField numFmtId="14" showAll="0"/>
    <pivotField showAll="0">
      <items count="13">
        <item x="0"/>
        <item x="11"/>
        <item x="7"/>
        <item x="8"/>
        <item x="5"/>
        <item x="9"/>
        <item x="2"/>
        <item x="6"/>
        <item x="1"/>
        <item x="3"/>
        <item x="10"/>
        <item x="4"/>
        <item t="default"/>
      </items>
    </pivotField>
    <pivotField showAll="0">
      <items count="5">
        <item h="1" x="0"/>
        <item h="1" x="2"/>
        <item h="1" x="3"/>
        <item x="1"/>
        <item t="default"/>
      </items>
    </pivotField>
    <pivotField axis="axisRow" showAll="0">
      <items count="11">
        <item x="1"/>
        <item x="6"/>
        <item x="3"/>
        <item x="7"/>
        <item x="2"/>
        <item x="9"/>
        <item x="0"/>
        <item x="8"/>
        <item x="5"/>
        <item x="4"/>
        <item t="default"/>
      </items>
    </pivotField>
    <pivotField dataField="1" showAll="0"/>
    <pivotField showAll="0"/>
    <pivotField showAll="0"/>
    <pivotField showAll="0"/>
    <pivotField showAll="0"/>
  </pivotFields>
  <rowFields count="1">
    <field x="3"/>
  </rowFields>
  <rowItems count="7">
    <i>
      <x/>
    </i>
    <i>
      <x v="2"/>
    </i>
    <i>
      <x v="3"/>
    </i>
    <i>
      <x v="5"/>
    </i>
    <i>
      <x v="7"/>
    </i>
    <i>
      <x v="8"/>
    </i>
    <i t="grand">
      <x/>
    </i>
  </rowItems>
  <colItems count="1">
    <i/>
  </colItems>
  <dataFields count="1">
    <dataField name="Sum of Units Sold"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913453-593A-4BDC-811A-6D59DAB80C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7" firstHeaderRow="1" firstDataRow="1" firstDataCol="1"/>
  <pivotFields count="9">
    <pivotField numFmtId="14" showAll="0"/>
    <pivotField axis="axisRow" showAll="0">
      <items count="13">
        <item x="0"/>
        <item x="11"/>
        <item x="7"/>
        <item x="8"/>
        <item x="5"/>
        <item x="9"/>
        <item x="2"/>
        <item x="6"/>
        <item x="1"/>
        <item x="3"/>
        <item x="10"/>
        <item x="4"/>
        <item t="default"/>
      </items>
    </pivotField>
    <pivotField showAll="0">
      <items count="5">
        <item h="1" x="0"/>
        <item h="1" x="2"/>
        <item h="1" x="3"/>
        <item x="1"/>
        <item t="default"/>
      </items>
    </pivotField>
    <pivotField showAll="0">
      <items count="11">
        <item x="1"/>
        <item x="6"/>
        <item x="3"/>
        <item x="7"/>
        <item x="2"/>
        <item x="9"/>
        <item x="0"/>
        <item x="8"/>
        <item x="5"/>
        <item x="4"/>
        <item t="default"/>
      </items>
    </pivotField>
    <pivotField showAll="0"/>
    <pivotField showAll="0"/>
    <pivotField showAll="0"/>
    <pivotField dataField="1" showAll="0"/>
    <pivotField showAll="0"/>
  </pivotFields>
  <rowFields count="1">
    <field x="1"/>
  </rowFields>
  <rowItems count="4">
    <i>
      <x v="4"/>
    </i>
    <i>
      <x v="5"/>
    </i>
    <i>
      <x v="8"/>
    </i>
    <i t="grand">
      <x/>
    </i>
  </rowItems>
  <colItems count="1">
    <i/>
  </colItems>
  <dataFields count="1">
    <dataField name="Sum of Total Sales" fld="7" baseField="0" baseItem="0"/>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C0DDBD-C576-4422-AC2E-2F66449BFD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0" firstHeaderRow="1" firstDataRow="1" firstDataCol="1"/>
  <pivotFields count="9">
    <pivotField numFmtId="14" showAll="0"/>
    <pivotField showAll="0">
      <items count="13">
        <item x="0"/>
        <item x="11"/>
        <item x="7"/>
        <item x="8"/>
        <item x="5"/>
        <item x="9"/>
        <item x="2"/>
        <item x="6"/>
        <item x="1"/>
        <item x="3"/>
        <item x="10"/>
        <item x="4"/>
        <item t="default"/>
      </items>
    </pivotField>
    <pivotField showAll="0">
      <items count="5">
        <item h="1" x="0"/>
        <item h="1" x="2"/>
        <item h="1" x="3"/>
        <item x="1"/>
        <item t="default"/>
      </items>
    </pivotField>
    <pivotField axis="axisRow" showAll="0">
      <items count="11">
        <item x="1"/>
        <item x="6"/>
        <item x="3"/>
        <item x="7"/>
        <item x="2"/>
        <item x="9"/>
        <item x="0"/>
        <item x="8"/>
        <item x="5"/>
        <item x="4"/>
        <item t="default"/>
      </items>
    </pivotField>
    <pivotField showAll="0"/>
    <pivotField showAll="0"/>
    <pivotField showAll="0"/>
    <pivotField dataField="1" showAll="0"/>
    <pivotField showAll="0"/>
  </pivotFields>
  <rowFields count="1">
    <field x="3"/>
  </rowFields>
  <rowItems count="7">
    <i>
      <x/>
    </i>
    <i>
      <x v="2"/>
    </i>
    <i>
      <x v="3"/>
    </i>
    <i>
      <x v="5"/>
    </i>
    <i>
      <x v="7"/>
    </i>
    <i>
      <x v="8"/>
    </i>
    <i t="grand">
      <x/>
    </i>
  </rowItems>
  <colItems count="1">
    <i/>
  </colItems>
  <dataFields count="1">
    <dataField name="Sum of Total Sales" fld="7"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F41752-DE54-4478-AC20-0354216F8259}" sourceName="Region">
  <pivotTables>
    <pivotTable tabId="2" name="PivotTable1"/>
    <pivotTable tabId="2" name="PivotTable2"/>
    <pivotTable tabId="2" name="PivotTable3"/>
    <pivotTable tabId="2" name="PivotTable4"/>
  </pivotTables>
  <data>
    <tabular pivotCacheId="169490855">
      <items count="4">
        <i x="0"/>
        <i x="2"/>
        <i x="3"/>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8C580B2-74A0-47AE-BA41-437D95C7ECBB}" sourceName="Sales Person">
  <pivotTables>
    <pivotTable tabId="2" name="PivotTable1"/>
    <pivotTable tabId="2" name="PivotTable2"/>
    <pivotTable tabId="2" name="PivotTable3"/>
    <pivotTable tabId="2" name="PivotTable4"/>
  </pivotTables>
  <data>
    <tabular pivotCacheId="169490855">
      <items count="12">
        <i x="5" s="1"/>
        <i x="9" s="1"/>
        <i x="1" s="1"/>
        <i x="0" s="1" nd="1"/>
        <i x="11" s="1" nd="1"/>
        <i x="7" s="1" nd="1"/>
        <i x="8" s="1" nd="1"/>
        <i x="2" s="1" nd="1"/>
        <i x="6" s="1" nd="1"/>
        <i x="3" s="1" nd="1"/>
        <i x="1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6E9803A-15EE-4389-A3B9-0A3EF7723BB4}" sourceName="Product">
  <pivotTables>
    <pivotTable tabId="2" name="PivotTable1"/>
    <pivotTable tabId="2" name="PivotTable2"/>
    <pivotTable tabId="2" name="PivotTable3"/>
    <pivotTable tabId="2" name="PivotTable4"/>
  </pivotTables>
  <data>
    <tabular pivotCacheId="169490855">
      <items count="10">
        <i x="1" s="1"/>
        <i x="3" s="1"/>
        <i x="7" s="1"/>
        <i x="9" s="1"/>
        <i x="8" s="1"/>
        <i x="5" s="1"/>
        <i x="6" s="1" nd="1"/>
        <i x="2" s="1" nd="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3C337C9-2247-474D-813A-1980CA25646C}" cache="Slicer_Region" caption="Region" columnCount="2" showCaption="0" style="SlicerStyleDark1" rowHeight="251883"/>
  <slicer name="Sales Person" xr10:uid="{B8C73A2D-F501-4630-BF76-BB896AD51EC9}" cache="Slicer_Sales_Person" caption="Sales Person" style="SlicerStyleDark1" rowHeight="251883"/>
  <slicer name="Product" xr10:uid="{05F0C692-98D6-4D0B-8A0A-1A41B6D1A1D2}" cache="Slicer_Product" caption="Product"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4F313B-ACAF-4E68-921D-82A721806DFB}" name="Table1" displayName="Table1" ref="A1:I27" totalsRowShown="0" headerRowDxfId="2">
  <autoFilter ref="A1:I27" xr:uid="{024F313B-ACAF-4E68-921D-82A721806DFB}"/>
  <tableColumns count="9">
    <tableColumn id="1" xr3:uid="{4B45147B-DAFB-4E5D-B106-46BB1A7ED056}" name="Date" dataDxfId="1"/>
    <tableColumn id="2" xr3:uid="{B582F310-57B7-4250-8B49-AE5E87F76772}" name="Sales Person"/>
    <tableColumn id="3" xr3:uid="{713C7437-FFA3-4E95-B4C0-52E7E98EBF0E}" name="Region"/>
    <tableColumn id="4" xr3:uid="{81624CA3-A4EC-4100-BAAD-73A11C5E8ABD}" name="Product"/>
    <tableColumn id="5" xr3:uid="{A9ACD55F-31BA-4556-9166-3708FF185277}" name="Units Sold"/>
    <tableColumn id="6" xr3:uid="{D028E5C7-B437-428D-8F1A-5FB36059E256}" name="Unit Price"/>
    <tableColumn id="7" xr3:uid="{5FFA8B49-FFD3-4478-84C4-8BC0A28019A0}" name="Cost of Goods"/>
    <tableColumn id="8" xr3:uid="{5FD78A43-07D3-45FE-8E32-A562FB829331}" name="Total Sales" dataDxfId="0" dataCellStyle="Comma">
      <calculatedColumnFormula>F2*E2</calculatedColumnFormula>
    </tableColumn>
    <tableColumn id="9" xr3:uid="{FA10092E-B56B-4CF7-B256-AF8AB25E92BE}" name="Profit">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E3F71-C0FF-4727-AD7E-3E3D758B78C8}">
  <dimension ref="A1"/>
  <sheetViews>
    <sheetView showRowColHeaders="0" tabSelected="1" topLeftCell="A45" zoomScale="105" zoomScaleNormal="55" workbookViewId="0">
      <selection activeCell="X27" sqref="X26:AD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9CFDC-05D7-4171-97DF-2E69E46D2EC0}">
  <dimension ref="A1:K29"/>
  <sheetViews>
    <sheetView workbookViewId="0">
      <selection activeCell="K8" sqref="K8"/>
    </sheetView>
  </sheetViews>
  <sheetFormatPr defaultRowHeight="14.5" x14ac:dyDescent="0.35"/>
  <cols>
    <col min="1" max="1" width="10.08984375" bestFit="1" customWidth="1"/>
    <col min="2" max="2" width="13.26953125" customWidth="1"/>
    <col min="4" max="4" width="16.6328125" customWidth="1"/>
    <col min="5" max="5" width="11.1796875" customWidth="1"/>
    <col min="6" max="6" width="12" customWidth="1"/>
    <col min="7" max="7" width="14.54296875" customWidth="1"/>
    <col min="8" max="8" width="13" customWidth="1"/>
    <col min="10" max="10" width="12.08984375" customWidth="1"/>
    <col min="11" max="11" width="16.08984375" customWidth="1"/>
  </cols>
  <sheetData>
    <row r="1" spans="1:11" x14ac:dyDescent="0.35">
      <c r="A1" s="1" t="s">
        <v>0</v>
      </c>
      <c r="B1" s="1" t="s">
        <v>1</v>
      </c>
      <c r="C1" s="1" t="s">
        <v>2</v>
      </c>
      <c r="D1" s="1" t="s">
        <v>3</v>
      </c>
      <c r="E1" s="1" t="s">
        <v>4</v>
      </c>
      <c r="F1" s="1" t="s">
        <v>5</v>
      </c>
      <c r="G1" s="1" t="s">
        <v>6</v>
      </c>
      <c r="H1" s="1" t="s">
        <v>7</v>
      </c>
      <c r="I1" s="1" t="s">
        <v>37</v>
      </c>
      <c r="K1" s="1" t="s">
        <v>34</v>
      </c>
    </row>
    <row r="2" spans="1:11" x14ac:dyDescent="0.35">
      <c r="A2" s="2">
        <v>45292</v>
      </c>
      <c r="B2" t="s">
        <v>8</v>
      </c>
      <c r="C2" t="s">
        <v>20</v>
      </c>
      <c r="D2" t="s">
        <v>24</v>
      </c>
      <c r="E2">
        <v>84</v>
      </c>
      <c r="F2">
        <v>6000</v>
      </c>
      <c r="G2">
        <v>4000</v>
      </c>
      <c r="H2" s="3">
        <f>F2*E2</f>
        <v>504000</v>
      </c>
      <c r="I2">
        <f>H2-(G2*E2)</f>
        <v>168000</v>
      </c>
      <c r="K2" s="6">
        <f>SUM(H2:H27)</f>
        <v>5139340</v>
      </c>
    </row>
    <row r="3" spans="1:11" x14ac:dyDescent="0.35">
      <c r="A3" s="2">
        <v>45294</v>
      </c>
      <c r="B3" t="s">
        <v>9</v>
      </c>
      <c r="C3" t="s">
        <v>21</v>
      </c>
      <c r="D3" t="s">
        <v>25</v>
      </c>
      <c r="E3">
        <v>128</v>
      </c>
      <c r="F3">
        <v>3500</v>
      </c>
      <c r="G3">
        <v>2500</v>
      </c>
      <c r="H3" s="3">
        <f t="shared" ref="H3:H27" si="0">F3*E3</f>
        <v>448000</v>
      </c>
      <c r="I3">
        <f>H3-(G3*E3)</f>
        <v>128000</v>
      </c>
      <c r="K3" s="1" t="s">
        <v>35</v>
      </c>
    </row>
    <row r="4" spans="1:11" x14ac:dyDescent="0.35">
      <c r="A4" s="2">
        <v>45296</v>
      </c>
      <c r="B4" t="s">
        <v>10</v>
      </c>
      <c r="C4" t="s">
        <v>22</v>
      </c>
      <c r="D4" t="s">
        <v>26</v>
      </c>
      <c r="E4">
        <v>136</v>
      </c>
      <c r="F4">
        <v>1200</v>
      </c>
      <c r="G4">
        <v>700</v>
      </c>
      <c r="H4" s="3">
        <f t="shared" si="0"/>
        <v>163200</v>
      </c>
      <c r="I4">
        <f t="shared" ref="I4:I27" si="1">H4-(G4*E4)</f>
        <v>68000</v>
      </c>
      <c r="K4" s="6">
        <f>SUM(E2:E27)</f>
        <v>1805</v>
      </c>
    </row>
    <row r="5" spans="1:11" x14ac:dyDescent="0.35">
      <c r="A5" s="2">
        <v>45298</v>
      </c>
      <c r="B5" t="s">
        <v>11</v>
      </c>
      <c r="C5" t="s">
        <v>23</v>
      </c>
      <c r="D5" t="s">
        <v>27</v>
      </c>
      <c r="E5">
        <v>66</v>
      </c>
      <c r="F5">
        <v>1000</v>
      </c>
      <c r="G5">
        <v>600</v>
      </c>
      <c r="H5" s="3">
        <f t="shared" si="0"/>
        <v>66000</v>
      </c>
      <c r="I5">
        <f t="shared" si="1"/>
        <v>26400</v>
      </c>
      <c r="K5" s="1" t="s">
        <v>36</v>
      </c>
    </row>
    <row r="6" spans="1:11" x14ac:dyDescent="0.35">
      <c r="A6" s="2">
        <v>45300</v>
      </c>
      <c r="B6" t="s">
        <v>12</v>
      </c>
      <c r="C6" t="s">
        <v>20</v>
      </c>
      <c r="D6" t="s">
        <v>28</v>
      </c>
      <c r="E6">
        <v>33</v>
      </c>
      <c r="F6">
        <v>4000</v>
      </c>
      <c r="G6">
        <v>2700</v>
      </c>
      <c r="H6" s="3">
        <f t="shared" si="0"/>
        <v>132000</v>
      </c>
      <c r="I6">
        <f t="shared" si="1"/>
        <v>42900</v>
      </c>
      <c r="K6" s="6">
        <f>SUM(I2:I27)</f>
        <v>1807250</v>
      </c>
    </row>
    <row r="7" spans="1:11" x14ac:dyDescent="0.35">
      <c r="A7" s="2">
        <v>45302</v>
      </c>
      <c r="B7" t="s">
        <v>13</v>
      </c>
      <c r="C7" t="s">
        <v>21</v>
      </c>
      <c r="D7" t="s">
        <v>29</v>
      </c>
      <c r="E7">
        <v>144</v>
      </c>
      <c r="F7">
        <v>1200</v>
      </c>
      <c r="G7">
        <v>800</v>
      </c>
      <c r="H7" s="3">
        <f t="shared" si="0"/>
        <v>172800</v>
      </c>
      <c r="I7">
        <f t="shared" si="1"/>
        <v>57600</v>
      </c>
      <c r="K7" s="1" t="s">
        <v>38</v>
      </c>
    </row>
    <row r="8" spans="1:11" x14ac:dyDescent="0.35">
      <c r="A8" s="2">
        <v>45304</v>
      </c>
      <c r="B8" t="s">
        <v>14</v>
      </c>
      <c r="C8" t="s">
        <v>22</v>
      </c>
      <c r="D8" t="s">
        <v>30</v>
      </c>
      <c r="E8">
        <v>37</v>
      </c>
      <c r="F8">
        <v>1000</v>
      </c>
      <c r="G8">
        <v>500</v>
      </c>
      <c r="H8" s="3">
        <f t="shared" si="0"/>
        <v>37000</v>
      </c>
      <c r="I8">
        <f t="shared" si="1"/>
        <v>18500</v>
      </c>
      <c r="K8" s="6">
        <f>AVERAGE(H2:H27)</f>
        <v>197666.92307692306</v>
      </c>
    </row>
    <row r="9" spans="1:11" x14ac:dyDescent="0.35">
      <c r="A9" s="2">
        <v>45306</v>
      </c>
      <c r="B9" t="s">
        <v>15</v>
      </c>
      <c r="C9" t="s">
        <v>23</v>
      </c>
      <c r="D9" t="s">
        <v>31</v>
      </c>
      <c r="E9">
        <v>28</v>
      </c>
      <c r="F9">
        <v>6000</v>
      </c>
      <c r="G9">
        <v>4000</v>
      </c>
      <c r="H9" s="3">
        <f t="shared" si="0"/>
        <v>168000</v>
      </c>
      <c r="I9">
        <f t="shared" si="1"/>
        <v>56000</v>
      </c>
    </row>
    <row r="10" spans="1:11" x14ac:dyDescent="0.35">
      <c r="A10" s="2">
        <v>45308</v>
      </c>
      <c r="B10" t="s">
        <v>16</v>
      </c>
      <c r="C10" t="s">
        <v>20</v>
      </c>
      <c r="D10" t="s">
        <v>32</v>
      </c>
      <c r="E10">
        <v>81</v>
      </c>
      <c r="F10">
        <v>600</v>
      </c>
      <c r="G10">
        <v>300</v>
      </c>
      <c r="H10" s="3">
        <f t="shared" si="0"/>
        <v>48600</v>
      </c>
      <c r="I10">
        <f t="shared" si="1"/>
        <v>24300</v>
      </c>
    </row>
    <row r="11" spans="1:11" x14ac:dyDescent="0.35">
      <c r="A11" s="2">
        <v>45310</v>
      </c>
      <c r="B11" t="s">
        <v>17</v>
      </c>
      <c r="C11" t="s">
        <v>21</v>
      </c>
      <c r="D11" t="s">
        <v>33</v>
      </c>
      <c r="E11">
        <v>55</v>
      </c>
      <c r="F11">
        <v>5500</v>
      </c>
      <c r="G11">
        <v>4500</v>
      </c>
      <c r="H11" s="3">
        <f t="shared" si="0"/>
        <v>302500</v>
      </c>
      <c r="I11">
        <f t="shared" si="1"/>
        <v>55000</v>
      </c>
    </row>
    <row r="12" spans="1:11" x14ac:dyDescent="0.35">
      <c r="A12" s="2">
        <v>45312</v>
      </c>
      <c r="B12" t="s">
        <v>18</v>
      </c>
      <c r="C12" t="s">
        <v>22</v>
      </c>
      <c r="D12" t="s">
        <v>24</v>
      </c>
      <c r="E12">
        <v>48</v>
      </c>
      <c r="F12">
        <v>1200</v>
      </c>
      <c r="G12">
        <v>800</v>
      </c>
      <c r="H12" s="3">
        <f t="shared" si="0"/>
        <v>57600</v>
      </c>
      <c r="I12">
        <f t="shared" si="1"/>
        <v>19200</v>
      </c>
    </row>
    <row r="13" spans="1:11" x14ac:dyDescent="0.35">
      <c r="A13" s="2">
        <v>45323</v>
      </c>
      <c r="B13" t="s">
        <v>19</v>
      </c>
      <c r="C13" t="s">
        <v>23</v>
      </c>
      <c r="D13" t="s">
        <v>25</v>
      </c>
      <c r="E13">
        <v>39</v>
      </c>
      <c r="F13">
        <v>1000</v>
      </c>
      <c r="G13">
        <v>600</v>
      </c>
      <c r="H13" s="3">
        <f t="shared" si="0"/>
        <v>39000</v>
      </c>
      <c r="I13">
        <f t="shared" si="1"/>
        <v>15600</v>
      </c>
    </row>
    <row r="14" spans="1:11" x14ac:dyDescent="0.35">
      <c r="A14" s="2">
        <v>45324</v>
      </c>
      <c r="B14" t="s">
        <v>8</v>
      </c>
      <c r="C14" t="s">
        <v>20</v>
      </c>
      <c r="D14" t="s">
        <v>26</v>
      </c>
      <c r="E14">
        <v>71</v>
      </c>
      <c r="F14">
        <v>3500</v>
      </c>
      <c r="G14">
        <v>2700</v>
      </c>
      <c r="H14" s="3">
        <f t="shared" si="0"/>
        <v>248500</v>
      </c>
      <c r="I14">
        <f t="shared" si="1"/>
        <v>56800</v>
      </c>
    </row>
    <row r="15" spans="1:11" x14ac:dyDescent="0.35">
      <c r="A15" s="2">
        <v>45326</v>
      </c>
      <c r="B15" t="s">
        <v>9</v>
      </c>
      <c r="C15" t="s">
        <v>21</v>
      </c>
      <c r="D15" t="s">
        <v>27</v>
      </c>
      <c r="E15">
        <v>37</v>
      </c>
      <c r="F15">
        <v>4000</v>
      </c>
      <c r="G15">
        <v>2900</v>
      </c>
      <c r="H15" s="3">
        <f t="shared" si="0"/>
        <v>148000</v>
      </c>
      <c r="I15">
        <f t="shared" si="1"/>
        <v>40700</v>
      </c>
    </row>
    <row r="16" spans="1:11" x14ac:dyDescent="0.35">
      <c r="A16" s="2">
        <v>45328</v>
      </c>
      <c r="B16" t="s">
        <v>10</v>
      </c>
      <c r="C16" t="s">
        <v>22</v>
      </c>
      <c r="D16" t="s">
        <v>28</v>
      </c>
      <c r="E16">
        <v>46</v>
      </c>
      <c r="F16">
        <v>3500</v>
      </c>
      <c r="G16">
        <v>3000</v>
      </c>
      <c r="H16" s="3">
        <f t="shared" si="0"/>
        <v>161000</v>
      </c>
      <c r="I16">
        <f t="shared" si="1"/>
        <v>23000</v>
      </c>
    </row>
    <row r="17" spans="1:9" x14ac:dyDescent="0.35">
      <c r="A17" s="2">
        <v>45330</v>
      </c>
      <c r="B17" t="s">
        <v>11</v>
      </c>
      <c r="C17" t="s">
        <v>23</v>
      </c>
      <c r="D17" t="s">
        <v>29</v>
      </c>
      <c r="E17">
        <v>99</v>
      </c>
      <c r="F17">
        <v>4200</v>
      </c>
      <c r="G17">
        <v>3500</v>
      </c>
      <c r="H17" s="3">
        <f t="shared" si="0"/>
        <v>415800</v>
      </c>
      <c r="I17">
        <f t="shared" si="1"/>
        <v>69300</v>
      </c>
    </row>
    <row r="18" spans="1:9" x14ac:dyDescent="0.35">
      <c r="A18" s="2">
        <v>45332</v>
      </c>
      <c r="B18" t="s">
        <v>12</v>
      </c>
      <c r="C18" t="s">
        <v>20</v>
      </c>
      <c r="D18" t="s">
        <v>30</v>
      </c>
      <c r="E18">
        <v>137</v>
      </c>
      <c r="F18">
        <v>4200</v>
      </c>
      <c r="G18">
        <v>200</v>
      </c>
      <c r="H18" s="3">
        <f t="shared" si="0"/>
        <v>575400</v>
      </c>
      <c r="I18">
        <f t="shared" si="1"/>
        <v>548000</v>
      </c>
    </row>
    <row r="19" spans="1:9" x14ac:dyDescent="0.35">
      <c r="A19" s="2">
        <v>45334</v>
      </c>
      <c r="B19" t="s">
        <v>13</v>
      </c>
      <c r="C19" t="s">
        <v>21</v>
      </c>
      <c r="D19" t="s">
        <v>31</v>
      </c>
      <c r="E19">
        <v>101</v>
      </c>
      <c r="F19">
        <v>1000</v>
      </c>
      <c r="G19">
        <v>450</v>
      </c>
      <c r="H19" s="3">
        <f t="shared" si="0"/>
        <v>101000</v>
      </c>
      <c r="I19">
        <f t="shared" si="1"/>
        <v>55550</v>
      </c>
    </row>
    <row r="20" spans="1:9" x14ac:dyDescent="0.35">
      <c r="A20" s="2">
        <v>45336</v>
      </c>
      <c r="B20" t="s">
        <v>14</v>
      </c>
      <c r="C20" t="s">
        <v>22</v>
      </c>
      <c r="D20" t="s">
        <v>32</v>
      </c>
      <c r="E20">
        <v>22</v>
      </c>
      <c r="F20">
        <v>10000</v>
      </c>
      <c r="G20">
        <v>7500</v>
      </c>
      <c r="H20" s="3">
        <f>F20*E20</f>
        <v>220000</v>
      </c>
      <c r="I20">
        <f t="shared" si="1"/>
        <v>55000</v>
      </c>
    </row>
    <row r="21" spans="1:9" x14ac:dyDescent="0.35">
      <c r="A21" s="2">
        <v>45338</v>
      </c>
      <c r="B21" t="s">
        <v>15</v>
      </c>
      <c r="C21" t="s">
        <v>23</v>
      </c>
      <c r="D21" t="s">
        <v>33</v>
      </c>
      <c r="E21">
        <v>51</v>
      </c>
      <c r="F21">
        <v>4000</v>
      </c>
      <c r="G21">
        <v>2700</v>
      </c>
      <c r="H21" s="3">
        <f t="shared" si="0"/>
        <v>204000</v>
      </c>
      <c r="I21">
        <f t="shared" si="1"/>
        <v>66300</v>
      </c>
    </row>
    <row r="22" spans="1:9" x14ac:dyDescent="0.35">
      <c r="A22" s="2">
        <v>45340</v>
      </c>
      <c r="B22" t="s">
        <v>16</v>
      </c>
      <c r="C22" t="s">
        <v>20</v>
      </c>
      <c r="D22" t="s">
        <v>24</v>
      </c>
      <c r="E22">
        <v>73</v>
      </c>
      <c r="F22">
        <v>3400</v>
      </c>
      <c r="G22">
        <v>2500</v>
      </c>
      <c r="H22" s="3">
        <f t="shared" si="0"/>
        <v>248200</v>
      </c>
      <c r="I22">
        <f t="shared" si="1"/>
        <v>65700</v>
      </c>
    </row>
    <row r="23" spans="1:9" x14ac:dyDescent="0.35">
      <c r="A23" s="2">
        <v>45342</v>
      </c>
      <c r="B23" t="s">
        <v>17</v>
      </c>
      <c r="C23" t="s">
        <v>21</v>
      </c>
      <c r="D23" t="s">
        <v>25</v>
      </c>
      <c r="E23">
        <v>66</v>
      </c>
      <c r="F23">
        <v>2200</v>
      </c>
      <c r="G23">
        <v>1600</v>
      </c>
      <c r="H23" s="3">
        <f t="shared" si="0"/>
        <v>145200</v>
      </c>
      <c r="I23">
        <f t="shared" si="1"/>
        <v>39600</v>
      </c>
    </row>
    <row r="24" spans="1:9" x14ac:dyDescent="0.35">
      <c r="A24" s="2">
        <v>45344</v>
      </c>
      <c r="B24" t="s">
        <v>18</v>
      </c>
      <c r="C24" t="s">
        <v>22</v>
      </c>
      <c r="D24" t="s">
        <v>26</v>
      </c>
      <c r="E24">
        <v>84</v>
      </c>
      <c r="F24">
        <v>410</v>
      </c>
      <c r="G24">
        <v>110</v>
      </c>
      <c r="H24" s="3">
        <f t="shared" si="0"/>
        <v>34440</v>
      </c>
      <c r="I24">
        <f t="shared" si="1"/>
        <v>25200</v>
      </c>
    </row>
    <row r="25" spans="1:9" x14ac:dyDescent="0.35">
      <c r="A25" s="2">
        <v>45346</v>
      </c>
      <c r="B25" t="s">
        <v>19</v>
      </c>
      <c r="C25" t="s">
        <v>23</v>
      </c>
      <c r="D25" t="s">
        <v>27</v>
      </c>
      <c r="E25">
        <v>73</v>
      </c>
      <c r="F25">
        <v>4100</v>
      </c>
      <c r="G25">
        <v>3500</v>
      </c>
      <c r="H25" s="3">
        <f t="shared" si="0"/>
        <v>299300</v>
      </c>
      <c r="I25">
        <f t="shared" si="1"/>
        <v>43800</v>
      </c>
    </row>
    <row r="26" spans="1:9" x14ac:dyDescent="0.35">
      <c r="A26" s="2">
        <v>45348</v>
      </c>
      <c r="B26" t="s">
        <v>8</v>
      </c>
      <c r="C26" t="s">
        <v>20</v>
      </c>
      <c r="D26" t="s">
        <v>28</v>
      </c>
      <c r="E26">
        <v>29</v>
      </c>
      <c r="F26">
        <v>3700</v>
      </c>
      <c r="G26">
        <v>3000</v>
      </c>
      <c r="H26" s="3">
        <f t="shared" si="0"/>
        <v>107300</v>
      </c>
      <c r="I26">
        <f t="shared" si="1"/>
        <v>20300</v>
      </c>
    </row>
    <row r="27" spans="1:9" x14ac:dyDescent="0.35">
      <c r="A27" s="2">
        <v>45350</v>
      </c>
      <c r="B27" t="s">
        <v>9</v>
      </c>
      <c r="C27" t="s">
        <v>21</v>
      </c>
      <c r="D27" t="s">
        <v>32</v>
      </c>
      <c r="E27">
        <v>37</v>
      </c>
      <c r="F27">
        <v>2500</v>
      </c>
      <c r="G27">
        <v>2000</v>
      </c>
      <c r="H27" s="3">
        <f t="shared" si="0"/>
        <v>92500</v>
      </c>
      <c r="I27">
        <f t="shared" si="1"/>
        <v>18500</v>
      </c>
    </row>
    <row r="28" spans="1:9" x14ac:dyDescent="0.35">
      <c r="H28" s="3"/>
    </row>
    <row r="29" spans="1:9" x14ac:dyDescent="0.35">
      <c r="H29"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1F1A-E9BD-4229-941F-A53CD36B8FB6}">
  <dimension ref="A3:K10"/>
  <sheetViews>
    <sheetView topLeftCell="A4" zoomScale="70" zoomScaleNormal="70" workbookViewId="0">
      <selection activeCell="U6" sqref="U6:U7"/>
    </sheetView>
  </sheetViews>
  <sheetFormatPr defaultRowHeight="14.5" x14ac:dyDescent="0.35"/>
  <cols>
    <col min="1" max="1" width="13.36328125" bestFit="1" customWidth="1"/>
    <col min="2" max="2" width="16.08984375" bestFit="1" customWidth="1"/>
    <col min="4" max="4" width="13.36328125" bestFit="1" customWidth="1"/>
    <col min="5" max="5" width="16.08984375" bestFit="1" customWidth="1"/>
    <col min="7" max="7" width="13.36328125" bestFit="1" customWidth="1"/>
    <col min="8" max="8" width="16.08984375" bestFit="1" customWidth="1"/>
    <col min="10" max="10" width="13.36328125" bestFit="1" customWidth="1"/>
    <col min="11" max="11" width="15.6328125" bestFit="1" customWidth="1"/>
  </cols>
  <sheetData>
    <row r="3" spans="1:11" x14ac:dyDescent="0.35">
      <c r="A3" s="4" t="s">
        <v>39</v>
      </c>
      <c r="B3" t="s">
        <v>41</v>
      </c>
      <c r="D3" s="4" t="s">
        <v>39</v>
      </c>
      <c r="E3" t="s">
        <v>41</v>
      </c>
      <c r="G3" s="4" t="s">
        <v>39</v>
      </c>
      <c r="H3" t="s">
        <v>41</v>
      </c>
      <c r="J3" s="4" t="s">
        <v>39</v>
      </c>
      <c r="K3" t="s">
        <v>42</v>
      </c>
    </row>
    <row r="4" spans="1:11" x14ac:dyDescent="0.35">
      <c r="A4" s="5" t="s">
        <v>21</v>
      </c>
      <c r="B4" s="7">
        <v>1410000</v>
      </c>
      <c r="D4" s="5" t="s">
        <v>25</v>
      </c>
      <c r="E4" s="7">
        <v>593200</v>
      </c>
      <c r="G4" s="5" t="s">
        <v>13</v>
      </c>
      <c r="H4" s="7">
        <v>273800</v>
      </c>
      <c r="J4" s="5" t="s">
        <v>25</v>
      </c>
      <c r="K4" s="7">
        <v>194</v>
      </c>
    </row>
    <row r="5" spans="1:11" x14ac:dyDescent="0.35">
      <c r="A5" s="5" t="s">
        <v>40</v>
      </c>
      <c r="B5" s="7">
        <v>1410000</v>
      </c>
      <c r="D5" s="5" t="s">
        <v>27</v>
      </c>
      <c r="E5" s="7">
        <v>148000</v>
      </c>
      <c r="G5" s="5" t="s">
        <v>17</v>
      </c>
      <c r="H5" s="7">
        <v>447700</v>
      </c>
      <c r="J5" s="5" t="s">
        <v>27</v>
      </c>
      <c r="K5" s="7">
        <v>37</v>
      </c>
    </row>
    <row r="6" spans="1:11" x14ac:dyDescent="0.35">
      <c r="D6" s="5" t="s">
        <v>31</v>
      </c>
      <c r="E6" s="7">
        <v>101000</v>
      </c>
      <c r="G6" s="5" t="s">
        <v>9</v>
      </c>
      <c r="H6" s="7">
        <v>688500</v>
      </c>
      <c r="J6" s="5" t="s">
        <v>31</v>
      </c>
      <c r="K6" s="7">
        <v>101</v>
      </c>
    </row>
    <row r="7" spans="1:11" x14ac:dyDescent="0.35">
      <c r="D7" s="5" t="s">
        <v>33</v>
      </c>
      <c r="E7" s="7">
        <v>302500</v>
      </c>
      <c r="G7" s="5" t="s">
        <v>40</v>
      </c>
      <c r="H7" s="7">
        <v>1410000</v>
      </c>
      <c r="J7" s="5" t="s">
        <v>33</v>
      </c>
      <c r="K7" s="7">
        <v>55</v>
      </c>
    </row>
    <row r="8" spans="1:11" x14ac:dyDescent="0.35">
      <c r="D8" s="5" t="s">
        <v>32</v>
      </c>
      <c r="E8" s="7">
        <v>92500</v>
      </c>
      <c r="J8" s="5" t="s">
        <v>32</v>
      </c>
      <c r="K8" s="7">
        <v>37</v>
      </c>
    </row>
    <row r="9" spans="1:11" x14ac:dyDescent="0.35">
      <c r="D9" s="5" t="s">
        <v>29</v>
      </c>
      <c r="E9" s="7">
        <v>172800</v>
      </c>
      <c r="J9" s="5" t="s">
        <v>29</v>
      </c>
      <c r="K9" s="7">
        <v>144</v>
      </c>
    </row>
    <row r="10" spans="1:11" x14ac:dyDescent="0.35">
      <c r="D10" s="5" t="s">
        <v>40</v>
      </c>
      <c r="E10" s="7">
        <v>1410000</v>
      </c>
      <c r="J10" s="5" t="s">
        <v>40</v>
      </c>
      <c r="K10" s="7">
        <v>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 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2026-05-25T10:04:20Z</dcterms:created>
  <dcterms:modified xsi:type="dcterms:W3CDTF">2026-06-05T11:07:35Z</dcterms:modified>
</cp:coreProperties>
</file>